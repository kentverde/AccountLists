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ccountLists\reports\"/>
    </mc:Choice>
  </mc:AlternateContent>
  <xr:revisionPtr revIDLastSave="0" documentId="8_{410A41FF-B426-4FB7-8435-4C0FEEBBB006}" xr6:coauthVersionLast="47" xr6:coauthVersionMax="47" xr10:uidLastSave="{00000000-0000-0000-0000-000000000000}"/>
  <bookViews>
    <workbookView xWindow="-108" yWindow="492" windowWidth="23256" windowHeight="12576" xr2:uid="{CAC3D86C-369F-4A05-84AC-ABE32C5D97D7}"/>
  </bookViews>
  <sheets>
    <sheet name="Rep_Level_Impacts_2025_Summary_" sheetId="1" r:id="rId1"/>
  </sheets>
  <calcPr calcId="0"/>
</workbook>
</file>

<file path=xl/calcChain.xml><?xml version="1.0" encoding="utf-8"?>
<calcChain xmlns="http://schemas.openxmlformats.org/spreadsheetml/2006/main">
  <c r="C74" i="1" l="1"/>
</calcChain>
</file>

<file path=xl/sharedStrings.xml><?xml version="1.0" encoding="utf-8"?>
<sst xmlns="http://schemas.openxmlformats.org/spreadsheetml/2006/main" count="162" uniqueCount="98">
  <si>
    <t>Rep_Name</t>
  </si>
  <si>
    <t>Rep_Type</t>
  </si>
  <si>
    <t>Before_Accounts</t>
  </si>
  <si>
    <t>Before_Rev_2024</t>
  </si>
  <si>
    <t>Before_Rev_2025</t>
  </si>
  <si>
    <t>Accounts_Moved_In</t>
  </si>
  <si>
    <t>Accounts_Moved_Out</t>
  </si>
  <si>
    <t>Net_Account_Change</t>
  </si>
  <si>
    <t>Rev_Moved_In</t>
  </si>
  <si>
    <t>Rev_Moved_Out</t>
  </si>
  <si>
    <t>Net_Rev_Change</t>
  </si>
  <si>
    <t>After_Accounts</t>
  </si>
  <si>
    <t>After_Rev_2024</t>
  </si>
  <si>
    <t>After_Rev_2025</t>
  </si>
  <si>
    <t>Floor_Exception_Accounts</t>
  </si>
  <si>
    <t>Floor_Exception_Rev</t>
  </si>
  <si>
    <t>SF_Ex_BI_Accounts</t>
  </si>
  <si>
    <t>SF_Ex_BI_Rev</t>
  </si>
  <si>
    <t>Zero_Rev_Accounts</t>
  </si>
  <si>
    <t>Zero_Rev_New_2025</t>
  </si>
  <si>
    <t>Aaron Kirsch</t>
  </si>
  <si>
    <t>Independent rep</t>
  </si>
  <si>
    <t>Adam Paurowski</t>
  </si>
  <si>
    <t>Amanda Kistela</t>
  </si>
  <si>
    <t>Inside Sales</t>
  </si>
  <si>
    <t>Amelia Wall</t>
  </si>
  <si>
    <t>Angela Esposito</t>
  </si>
  <si>
    <t>Other</t>
  </si>
  <si>
    <t>Angie Robison</t>
  </si>
  <si>
    <t>Account Managers</t>
  </si>
  <si>
    <t>Anna Hudspeth</t>
  </si>
  <si>
    <t>Archana Chaudhary</t>
  </si>
  <si>
    <t>Betsy Goslin</t>
  </si>
  <si>
    <t>Cameron Allison</t>
  </si>
  <si>
    <t>Carrie Odendahl</t>
  </si>
  <si>
    <t>Chad Forti</t>
  </si>
  <si>
    <t>Chapel Conley</t>
  </si>
  <si>
    <t>Cindy Wight</t>
  </si>
  <si>
    <t>Cynthia Guthrie</t>
  </si>
  <si>
    <t>David Glassman</t>
  </si>
  <si>
    <t>Eddie Goldberger</t>
  </si>
  <si>
    <t>Emily Cardassi</t>
  </si>
  <si>
    <t>Enricus Coone</t>
  </si>
  <si>
    <t xml:space="preserve">Inside Sales </t>
  </si>
  <si>
    <t xml:space="preserve">Enricus Coone </t>
  </si>
  <si>
    <t>Erin Kennedy</t>
  </si>
  <si>
    <t>Glen Giordano</t>
  </si>
  <si>
    <t>Hana Nassri</t>
  </si>
  <si>
    <t>House</t>
  </si>
  <si>
    <t>Indy Carroll</t>
  </si>
  <si>
    <t>SDR</t>
  </si>
  <si>
    <t>Jaipur Web Team</t>
  </si>
  <si>
    <t>Jesse Gerber</t>
  </si>
  <si>
    <t>Jesse and Larry Gerber</t>
  </si>
  <si>
    <t>Karen Autore</t>
  </si>
  <si>
    <t>Kent Schneider</t>
  </si>
  <si>
    <t>Kimberly Myers</t>
  </si>
  <si>
    <t>Kyra Williamson</t>
  </si>
  <si>
    <t>LA Open</t>
  </si>
  <si>
    <t>Laura Hays</t>
  </si>
  <si>
    <t>Lauren Smith</t>
  </si>
  <si>
    <t>Lisa Lowder</t>
  </si>
  <si>
    <t>Logan Karr</t>
  </si>
  <si>
    <t>Lorne Gardner</t>
  </si>
  <si>
    <t>MD Rickers</t>
  </si>
  <si>
    <t>Madison Wolpe</t>
  </si>
  <si>
    <t>Maggie McCoy</t>
  </si>
  <si>
    <t>Marcie Gelfand</t>
  </si>
  <si>
    <t>Maria Huguet</t>
  </si>
  <si>
    <t>Mariel Dela Torre</t>
  </si>
  <si>
    <t>Marti Hovater</t>
  </si>
  <si>
    <t>Melissa Coady</t>
  </si>
  <si>
    <t>Nitesh Chaudhary</t>
  </si>
  <si>
    <t>Paul Baird</t>
  </si>
  <si>
    <t>Peter Tischner</t>
  </si>
  <si>
    <t>Randall Schneck</t>
  </si>
  <si>
    <t>Rico Berrios</t>
  </si>
  <si>
    <t>Ron Kessler</t>
  </si>
  <si>
    <t>Ryan Rawlinson</t>
  </si>
  <si>
    <t>SDR Team</t>
  </si>
  <si>
    <t>Sheenthia Madihod</t>
  </si>
  <si>
    <t>Sheenthia Masihod</t>
  </si>
  <si>
    <t>Sheetal Patel</t>
  </si>
  <si>
    <t>Shelly Meshwork</t>
  </si>
  <si>
    <t>Shelly Meshwork (CA)</t>
  </si>
  <si>
    <t>Steve Goldfeder</t>
  </si>
  <si>
    <t>Steven Goldfeder</t>
  </si>
  <si>
    <t>other</t>
  </si>
  <si>
    <t>Susan Gray</t>
  </si>
  <si>
    <t>Susan Whitworth</t>
  </si>
  <si>
    <t>Ted Fall</t>
  </si>
  <si>
    <t>Teresa Roberts</t>
  </si>
  <si>
    <t>Test SalesRep</t>
  </si>
  <si>
    <t>Tommy Suarez</t>
  </si>
  <si>
    <t>Tony Minutelli</t>
  </si>
  <si>
    <t>Vandana Kaku</t>
  </si>
  <si>
    <t>Vecca Laurente</t>
  </si>
  <si>
    <t>Wesley 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</si>
</sst>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9281-78FA-4B2B-9432-5AB429BC466B}">
  <dimension ref="A1:T74"/>
  <sheetViews>
    <sheetView tabSelected="1" workbookViewId="0">
      <selection activeCell="C75" sqref="C75"/>
    </sheetView>
  </sheetViews>
  <sheetFormatPr defaultRowHeight="14.4" x14ac:dyDescent="0.3"/>
  <cols>
    <col min="4" max="4" width="14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151</v>
      </c>
      <c r="D2">
        <v>795662.5</v>
      </c>
      <c r="E2">
        <v>512684.85</v>
      </c>
      <c r="F2">
        <v>0</v>
      </c>
      <c r="G2">
        <v>38</v>
      </c>
      <c r="H2">
        <v>-38</v>
      </c>
      <c r="I2">
        <v>0</v>
      </c>
      <c r="J2">
        <v>6746</v>
      </c>
      <c r="K2">
        <v>-6746</v>
      </c>
      <c r="L2">
        <v>113</v>
      </c>
      <c r="M2">
        <v>770355.8</v>
      </c>
      <c r="N2">
        <v>505938.85</v>
      </c>
      <c r="O2">
        <v>21</v>
      </c>
      <c r="P2">
        <v>708.4</v>
      </c>
      <c r="Q2">
        <v>36</v>
      </c>
      <c r="R2">
        <v>0</v>
      </c>
      <c r="S2">
        <v>74</v>
      </c>
      <c r="T2">
        <v>0</v>
      </c>
    </row>
    <row r="3" spans="1:20" x14ac:dyDescent="0.3">
      <c r="A3" t="s">
        <v>22</v>
      </c>
      <c r="B3" t="s">
        <v>21</v>
      </c>
      <c r="C3">
        <v>3</v>
      </c>
      <c r="D3">
        <v>23659</v>
      </c>
      <c r="E3">
        <v>121755.02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23659</v>
      </c>
      <c r="N3">
        <v>121755.02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</row>
    <row r="4" spans="1:20" x14ac:dyDescent="0.3">
      <c r="A4" t="s">
        <v>23</v>
      </c>
      <c r="B4" t="s">
        <v>24</v>
      </c>
      <c r="C4">
        <v>31</v>
      </c>
      <c r="D4">
        <v>843001.29</v>
      </c>
      <c r="E4">
        <v>757542.45</v>
      </c>
      <c r="F4">
        <v>0</v>
      </c>
      <c r="G4">
        <v>31</v>
      </c>
      <c r="H4">
        <v>-31</v>
      </c>
      <c r="I4">
        <v>0</v>
      </c>
      <c r="J4">
        <v>757542.45</v>
      </c>
      <c r="K4">
        <v>-757542.45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25</v>
      </c>
      <c r="B5" t="s">
        <v>21</v>
      </c>
      <c r="C5">
        <v>1</v>
      </c>
      <c r="D5">
        <v>505662.63</v>
      </c>
      <c r="E5">
        <v>267631.84999999998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505662.63</v>
      </c>
      <c r="N5">
        <v>267631.84999999998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26</v>
      </c>
      <c r="B6" t="s">
        <v>27</v>
      </c>
      <c r="C6">
        <v>573</v>
      </c>
      <c r="D6">
        <v>541609.43000000005</v>
      </c>
      <c r="E6">
        <v>660637.25</v>
      </c>
      <c r="F6">
        <v>2</v>
      </c>
      <c r="G6">
        <v>151</v>
      </c>
      <c r="H6">
        <v>-149</v>
      </c>
      <c r="I6">
        <v>669968.78</v>
      </c>
      <c r="J6">
        <v>22681</v>
      </c>
      <c r="K6">
        <v>647287.78</v>
      </c>
      <c r="L6">
        <v>424</v>
      </c>
      <c r="M6">
        <v>441872.24</v>
      </c>
      <c r="N6">
        <v>1307925.03</v>
      </c>
      <c r="O6">
        <v>288</v>
      </c>
      <c r="P6">
        <v>4115.8999999999996</v>
      </c>
      <c r="Q6">
        <v>282</v>
      </c>
      <c r="R6">
        <v>0</v>
      </c>
      <c r="S6">
        <v>335</v>
      </c>
      <c r="T6">
        <v>39</v>
      </c>
    </row>
    <row r="7" spans="1:20" x14ac:dyDescent="0.3">
      <c r="A7" t="s">
        <v>28</v>
      </c>
      <c r="B7" t="s">
        <v>29</v>
      </c>
      <c r="C7">
        <v>279</v>
      </c>
      <c r="D7">
        <v>4425393.3</v>
      </c>
      <c r="E7">
        <v>4079564.13</v>
      </c>
      <c r="F7">
        <v>0</v>
      </c>
      <c r="G7">
        <v>46</v>
      </c>
      <c r="H7">
        <v>-46</v>
      </c>
      <c r="I7">
        <v>0</v>
      </c>
      <c r="J7">
        <v>15119.9</v>
      </c>
      <c r="K7">
        <v>-15119.9</v>
      </c>
      <c r="L7">
        <v>233</v>
      </c>
      <c r="M7">
        <v>4342348.88</v>
      </c>
      <c r="N7">
        <v>4064444.23</v>
      </c>
      <c r="O7">
        <v>1</v>
      </c>
      <c r="P7">
        <v>0</v>
      </c>
      <c r="Q7">
        <v>0</v>
      </c>
      <c r="R7">
        <v>0</v>
      </c>
      <c r="S7">
        <v>22</v>
      </c>
      <c r="T7">
        <v>2</v>
      </c>
    </row>
    <row r="8" spans="1:20" x14ac:dyDescent="0.3">
      <c r="A8" t="s">
        <v>30</v>
      </c>
      <c r="B8" t="s">
        <v>24</v>
      </c>
      <c r="C8">
        <v>973</v>
      </c>
      <c r="D8">
        <v>2360441.7999999998</v>
      </c>
      <c r="E8">
        <v>2295015.7200000002</v>
      </c>
      <c r="F8">
        <v>390</v>
      </c>
      <c r="G8">
        <v>969</v>
      </c>
      <c r="H8">
        <v>-579</v>
      </c>
      <c r="I8">
        <v>2220285.4700000002</v>
      </c>
      <c r="J8">
        <v>2257618.7200000002</v>
      </c>
      <c r="K8">
        <v>-37333.25</v>
      </c>
      <c r="L8">
        <v>394</v>
      </c>
      <c r="M8">
        <v>1831731.01</v>
      </c>
      <c r="N8">
        <v>2257682.4700000002</v>
      </c>
      <c r="O8">
        <v>0</v>
      </c>
      <c r="P8">
        <v>0</v>
      </c>
      <c r="Q8">
        <v>0</v>
      </c>
      <c r="R8">
        <v>0</v>
      </c>
      <c r="S8">
        <v>92</v>
      </c>
      <c r="T8">
        <v>29</v>
      </c>
    </row>
    <row r="9" spans="1:20" x14ac:dyDescent="0.3">
      <c r="A9" t="s">
        <v>31</v>
      </c>
      <c r="B9" t="s">
        <v>21</v>
      </c>
      <c r="C9">
        <v>9</v>
      </c>
      <c r="D9">
        <v>1391005.9</v>
      </c>
      <c r="E9">
        <v>240890.58</v>
      </c>
      <c r="F9">
        <v>0</v>
      </c>
      <c r="G9">
        <v>1</v>
      </c>
      <c r="H9">
        <v>-1</v>
      </c>
      <c r="I9">
        <v>0</v>
      </c>
      <c r="J9">
        <v>0</v>
      </c>
      <c r="K9">
        <v>0</v>
      </c>
      <c r="L9">
        <v>8</v>
      </c>
      <c r="M9">
        <v>1391005.9</v>
      </c>
      <c r="N9">
        <v>240890.58</v>
      </c>
      <c r="O9">
        <v>0</v>
      </c>
      <c r="P9">
        <v>0</v>
      </c>
      <c r="Q9">
        <v>0</v>
      </c>
      <c r="R9">
        <v>0</v>
      </c>
      <c r="S9">
        <v>5</v>
      </c>
      <c r="T9">
        <v>0</v>
      </c>
    </row>
    <row r="10" spans="1:20" x14ac:dyDescent="0.3">
      <c r="A10" t="s">
        <v>32</v>
      </c>
      <c r="B10" t="s">
        <v>29</v>
      </c>
      <c r="C10">
        <v>156</v>
      </c>
      <c r="D10">
        <v>2652431.2799999998</v>
      </c>
      <c r="E10">
        <v>2540597.42</v>
      </c>
      <c r="F10">
        <v>0</v>
      </c>
      <c r="G10">
        <v>16</v>
      </c>
      <c r="H10">
        <v>-16</v>
      </c>
      <c r="I10">
        <v>0</v>
      </c>
      <c r="J10">
        <v>13136</v>
      </c>
      <c r="K10">
        <v>-13136</v>
      </c>
      <c r="L10">
        <v>140</v>
      </c>
      <c r="M10">
        <v>2599673.2799999998</v>
      </c>
      <c r="N10">
        <v>2527461.42</v>
      </c>
      <c r="O10">
        <v>0</v>
      </c>
      <c r="P10">
        <v>0</v>
      </c>
      <c r="Q10">
        <v>0</v>
      </c>
      <c r="R10">
        <v>0</v>
      </c>
      <c r="S10">
        <v>6</v>
      </c>
      <c r="T10">
        <v>0</v>
      </c>
    </row>
    <row r="11" spans="1:20" x14ac:dyDescent="0.3">
      <c r="A11" t="s">
        <v>33</v>
      </c>
      <c r="B11" t="s">
        <v>21</v>
      </c>
      <c r="C11">
        <v>24</v>
      </c>
      <c r="D11">
        <v>11120642.92</v>
      </c>
      <c r="E11">
        <v>8828535.4100000001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24</v>
      </c>
      <c r="M11">
        <v>11120642.92</v>
      </c>
      <c r="N11">
        <v>8828535.4100000001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</row>
    <row r="12" spans="1:20" x14ac:dyDescent="0.3">
      <c r="A12" t="s">
        <v>34</v>
      </c>
      <c r="B12" t="s">
        <v>24</v>
      </c>
      <c r="C12">
        <v>929</v>
      </c>
      <c r="D12">
        <v>2961007.03</v>
      </c>
      <c r="E12">
        <v>2549735.2400000002</v>
      </c>
      <c r="F12">
        <v>170</v>
      </c>
      <c r="G12">
        <v>744</v>
      </c>
      <c r="H12">
        <v>-574</v>
      </c>
      <c r="I12">
        <v>915455.37</v>
      </c>
      <c r="J12">
        <v>1442116.82</v>
      </c>
      <c r="K12">
        <v>-526661.44999999995</v>
      </c>
      <c r="L12">
        <v>355</v>
      </c>
      <c r="M12">
        <v>1406276.6</v>
      </c>
      <c r="N12">
        <v>2023073.79</v>
      </c>
      <c r="O12">
        <v>3</v>
      </c>
      <c r="P12">
        <v>-2233</v>
      </c>
      <c r="Q12">
        <v>0</v>
      </c>
      <c r="R12">
        <v>0</v>
      </c>
      <c r="S12">
        <v>58</v>
      </c>
      <c r="T12">
        <v>35</v>
      </c>
    </row>
    <row r="13" spans="1:20" x14ac:dyDescent="0.3">
      <c r="A13" t="s">
        <v>35</v>
      </c>
      <c r="B13" t="s">
        <v>21</v>
      </c>
      <c r="C13">
        <v>86</v>
      </c>
      <c r="D13">
        <v>432386.7</v>
      </c>
      <c r="E13">
        <v>477695.22</v>
      </c>
      <c r="F13">
        <v>0</v>
      </c>
      <c r="G13">
        <v>22</v>
      </c>
      <c r="H13">
        <v>-22</v>
      </c>
      <c r="I13">
        <v>0</v>
      </c>
      <c r="J13">
        <v>1224.81</v>
      </c>
      <c r="K13">
        <v>-1224.81</v>
      </c>
      <c r="L13">
        <v>64</v>
      </c>
      <c r="M13">
        <v>415407.2</v>
      </c>
      <c r="N13">
        <v>476470.41</v>
      </c>
      <c r="O13">
        <v>0</v>
      </c>
      <c r="P13">
        <v>0</v>
      </c>
      <c r="Q13">
        <v>0</v>
      </c>
      <c r="R13">
        <v>0</v>
      </c>
      <c r="S13">
        <v>28</v>
      </c>
      <c r="T13">
        <v>3</v>
      </c>
    </row>
    <row r="14" spans="1:20" x14ac:dyDescent="0.3">
      <c r="A14" t="s">
        <v>36</v>
      </c>
      <c r="B14" t="s">
        <v>29</v>
      </c>
      <c r="C14">
        <v>191</v>
      </c>
      <c r="D14">
        <v>1421694.73</v>
      </c>
      <c r="E14">
        <v>1617986.54</v>
      </c>
      <c r="F14">
        <v>0</v>
      </c>
      <c r="G14">
        <v>70</v>
      </c>
      <c r="H14">
        <v>-70</v>
      </c>
      <c r="I14">
        <v>0</v>
      </c>
      <c r="J14">
        <v>28271.98</v>
      </c>
      <c r="K14">
        <v>-28271.98</v>
      </c>
      <c r="L14">
        <v>121</v>
      </c>
      <c r="M14">
        <v>1304987.3</v>
      </c>
      <c r="N14">
        <v>1589714.56</v>
      </c>
      <c r="O14">
        <v>0</v>
      </c>
      <c r="P14">
        <v>0</v>
      </c>
      <c r="Q14">
        <v>0</v>
      </c>
      <c r="R14">
        <v>0</v>
      </c>
      <c r="S14">
        <v>9</v>
      </c>
      <c r="T14">
        <v>3</v>
      </c>
    </row>
    <row r="15" spans="1:20" x14ac:dyDescent="0.3">
      <c r="A15" t="s">
        <v>37</v>
      </c>
      <c r="B15" t="s">
        <v>29</v>
      </c>
      <c r="C15">
        <v>181</v>
      </c>
      <c r="D15">
        <v>2007370.07</v>
      </c>
      <c r="E15">
        <v>2140844.62</v>
      </c>
      <c r="F15">
        <v>0</v>
      </c>
      <c r="G15">
        <v>37</v>
      </c>
      <c r="H15">
        <v>-37</v>
      </c>
      <c r="I15">
        <v>0</v>
      </c>
      <c r="J15">
        <v>18981.84</v>
      </c>
      <c r="K15">
        <v>-18981.84</v>
      </c>
      <c r="L15">
        <v>144</v>
      </c>
      <c r="M15">
        <v>1926414.44</v>
      </c>
      <c r="N15">
        <v>2121862.7799999998</v>
      </c>
      <c r="O15">
        <v>2</v>
      </c>
      <c r="P15">
        <v>3193.5</v>
      </c>
      <c r="Q15">
        <v>0</v>
      </c>
      <c r="R15">
        <v>0</v>
      </c>
      <c r="S15">
        <v>7</v>
      </c>
      <c r="T15">
        <v>4</v>
      </c>
    </row>
    <row r="16" spans="1:20" x14ac:dyDescent="0.3">
      <c r="A16" t="s">
        <v>38</v>
      </c>
      <c r="B16" t="s">
        <v>21</v>
      </c>
      <c r="C16">
        <v>136</v>
      </c>
      <c r="D16">
        <v>228969.92</v>
      </c>
      <c r="E16">
        <v>166075.99</v>
      </c>
      <c r="F16">
        <v>0</v>
      </c>
      <c r="G16">
        <v>30</v>
      </c>
      <c r="H16">
        <v>-30</v>
      </c>
      <c r="I16">
        <v>0</v>
      </c>
      <c r="J16">
        <v>4864.55</v>
      </c>
      <c r="K16">
        <v>-4864.55</v>
      </c>
      <c r="L16">
        <v>106</v>
      </c>
      <c r="M16">
        <v>201931.32</v>
      </c>
      <c r="N16">
        <v>161211.44</v>
      </c>
      <c r="O16">
        <v>67</v>
      </c>
      <c r="P16">
        <v>1657.5</v>
      </c>
      <c r="Q16">
        <v>64</v>
      </c>
      <c r="R16">
        <v>0</v>
      </c>
      <c r="S16">
        <v>78</v>
      </c>
      <c r="T16">
        <v>8</v>
      </c>
    </row>
    <row r="17" spans="1:20" x14ac:dyDescent="0.3">
      <c r="A17" t="s">
        <v>39</v>
      </c>
      <c r="B17" t="s">
        <v>21</v>
      </c>
      <c r="C17">
        <v>937</v>
      </c>
      <c r="D17">
        <v>4457476.6500000004</v>
      </c>
      <c r="E17">
        <v>4275853.54</v>
      </c>
      <c r="F17">
        <v>0</v>
      </c>
      <c r="G17">
        <v>527</v>
      </c>
      <c r="H17">
        <v>-527</v>
      </c>
      <c r="I17">
        <v>0</v>
      </c>
      <c r="J17">
        <v>142131.13</v>
      </c>
      <c r="K17">
        <v>-142131.13</v>
      </c>
      <c r="L17">
        <v>410</v>
      </c>
      <c r="M17">
        <v>3833759.03</v>
      </c>
      <c r="N17">
        <v>4133722.41</v>
      </c>
      <c r="O17">
        <v>6</v>
      </c>
      <c r="P17">
        <v>7675.01</v>
      </c>
      <c r="Q17">
        <v>0</v>
      </c>
      <c r="R17">
        <v>0</v>
      </c>
      <c r="S17">
        <v>66</v>
      </c>
      <c r="T17">
        <v>9</v>
      </c>
    </row>
    <row r="18" spans="1:20" x14ac:dyDescent="0.3">
      <c r="A18" t="s">
        <v>40</v>
      </c>
      <c r="B18" t="s">
        <v>21</v>
      </c>
      <c r="C18">
        <v>7</v>
      </c>
      <c r="D18">
        <v>0</v>
      </c>
      <c r="E18">
        <v>0</v>
      </c>
      <c r="F18">
        <v>0</v>
      </c>
      <c r="G18">
        <v>7</v>
      </c>
      <c r="H18">
        <v>-7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41</v>
      </c>
      <c r="B19" t="s">
        <v>29</v>
      </c>
      <c r="C19">
        <v>131</v>
      </c>
      <c r="D19">
        <v>1310464.53</v>
      </c>
      <c r="E19">
        <v>1238417.29</v>
      </c>
      <c r="F19">
        <v>0</v>
      </c>
      <c r="G19">
        <v>30</v>
      </c>
      <c r="H19">
        <v>-30</v>
      </c>
      <c r="I19">
        <v>0</v>
      </c>
      <c r="J19">
        <v>11024.8</v>
      </c>
      <c r="K19">
        <v>-11024.8</v>
      </c>
      <c r="L19">
        <v>101</v>
      </c>
      <c r="M19">
        <v>1235782.25</v>
      </c>
      <c r="N19">
        <v>1227392.49</v>
      </c>
      <c r="O19">
        <v>0</v>
      </c>
      <c r="P19">
        <v>0</v>
      </c>
      <c r="Q19">
        <v>0</v>
      </c>
      <c r="R19">
        <v>0</v>
      </c>
      <c r="S19">
        <v>14</v>
      </c>
      <c r="T19">
        <v>4</v>
      </c>
    </row>
    <row r="20" spans="1:20" x14ac:dyDescent="0.3">
      <c r="A20" t="s">
        <v>42</v>
      </c>
      <c r="B20" t="s">
        <v>43</v>
      </c>
      <c r="C20">
        <v>3609</v>
      </c>
      <c r="D20">
        <v>69873.41</v>
      </c>
      <c r="E20">
        <v>449181.01</v>
      </c>
      <c r="F20">
        <v>317</v>
      </c>
      <c r="G20">
        <v>3315</v>
      </c>
      <c r="H20">
        <v>-2998</v>
      </c>
      <c r="I20">
        <v>274066</v>
      </c>
      <c r="J20">
        <v>74772.87</v>
      </c>
      <c r="K20">
        <v>199293.13</v>
      </c>
      <c r="L20">
        <v>611</v>
      </c>
      <c r="M20">
        <v>3397995.4</v>
      </c>
      <c r="N20">
        <v>648474.14</v>
      </c>
      <c r="O20">
        <v>2</v>
      </c>
      <c r="P20">
        <v>0</v>
      </c>
      <c r="Q20">
        <v>0</v>
      </c>
      <c r="R20">
        <v>0</v>
      </c>
      <c r="S20">
        <v>286</v>
      </c>
      <c r="T20">
        <v>31</v>
      </c>
    </row>
    <row r="21" spans="1:20" x14ac:dyDescent="0.3">
      <c r="A21" t="s">
        <v>44</v>
      </c>
      <c r="B21" t="s">
        <v>43</v>
      </c>
      <c r="C21">
        <v>0</v>
      </c>
      <c r="D21">
        <v>0</v>
      </c>
      <c r="E21">
        <v>0</v>
      </c>
      <c r="F21">
        <v>1876</v>
      </c>
      <c r="G21">
        <v>0</v>
      </c>
      <c r="H21">
        <v>1876</v>
      </c>
      <c r="I21">
        <v>0</v>
      </c>
      <c r="J21">
        <v>0</v>
      </c>
      <c r="K21">
        <v>0</v>
      </c>
      <c r="L21">
        <v>1876</v>
      </c>
      <c r="M21">
        <v>0</v>
      </c>
      <c r="N21">
        <v>0</v>
      </c>
      <c r="O21">
        <v>0</v>
      </c>
      <c r="P21">
        <v>0</v>
      </c>
      <c r="Q21">
        <v>1876</v>
      </c>
      <c r="R21">
        <v>0</v>
      </c>
      <c r="S21">
        <v>1876</v>
      </c>
      <c r="T21">
        <v>0</v>
      </c>
    </row>
    <row r="22" spans="1:20" x14ac:dyDescent="0.3">
      <c r="A22" t="s">
        <v>45</v>
      </c>
      <c r="B22" t="s">
        <v>21</v>
      </c>
      <c r="C22">
        <v>120</v>
      </c>
      <c r="D22">
        <v>233747.99</v>
      </c>
      <c r="E22">
        <v>258135.61</v>
      </c>
      <c r="F22">
        <v>0</v>
      </c>
      <c r="G22">
        <v>27</v>
      </c>
      <c r="H22">
        <v>-27</v>
      </c>
      <c r="I22">
        <v>0</v>
      </c>
      <c r="J22">
        <v>4340.2</v>
      </c>
      <c r="K22">
        <v>-4340.2</v>
      </c>
      <c r="L22">
        <v>93</v>
      </c>
      <c r="M22">
        <v>203798.49</v>
      </c>
      <c r="N22">
        <v>253795.41</v>
      </c>
      <c r="O22">
        <v>60</v>
      </c>
      <c r="P22">
        <v>0</v>
      </c>
      <c r="Q22">
        <v>59</v>
      </c>
      <c r="R22">
        <v>0</v>
      </c>
      <c r="S22">
        <v>70</v>
      </c>
      <c r="T22">
        <v>9</v>
      </c>
    </row>
    <row r="23" spans="1:20" x14ac:dyDescent="0.3">
      <c r="A23" t="s">
        <v>46</v>
      </c>
      <c r="B23" t="s">
        <v>21</v>
      </c>
      <c r="C23">
        <v>41</v>
      </c>
      <c r="D23">
        <v>8506168.7899999991</v>
      </c>
      <c r="E23">
        <v>8864631.5899999999</v>
      </c>
      <c r="F23">
        <v>0</v>
      </c>
      <c r="G23">
        <v>1</v>
      </c>
      <c r="H23">
        <v>-1</v>
      </c>
      <c r="I23">
        <v>0</v>
      </c>
      <c r="J23">
        <v>0</v>
      </c>
      <c r="K23">
        <v>0</v>
      </c>
      <c r="L23">
        <v>40</v>
      </c>
      <c r="M23">
        <v>8506168.7899999991</v>
      </c>
      <c r="N23">
        <v>8864631.5899999999</v>
      </c>
      <c r="O23">
        <v>0</v>
      </c>
      <c r="P23">
        <v>0</v>
      </c>
      <c r="Q23">
        <v>0</v>
      </c>
      <c r="R23">
        <v>0</v>
      </c>
      <c r="S23">
        <v>19</v>
      </c>
      <c r="T23">
        <v>0</v>
      </c>
    </row>
    <row r="24" spans="1:20" x14ac:dyDescent="0.3">
      <c r="A24" t="s">
        <v>47</v>
      </c>
      <c r="B24" t="s">
        <v>24</v>
      </c>
      <c r="C24">
        <v>980</v>
      </c>
      <c r="D24">
        <v>1909418.67</v>
      </c>
      <c r="E24">
        <v>1854954.57</v>
      </c>
      <c r="F24">
        <v>349</v>
      </c>
      <c r="G24">
        <v>979</v>
      </c>
      <c r="H24">
        <v>-630</v>
      </c>
      <c r="I24">
        <v>1876681.09</v>
      </c>
      <c r="J24">
        <v>1852149.57</v>
      </c>
      <c r="K24">
        <v>24531.52</v>
      </c>
      <c r="L24">
        <v>350</v>
      </c>
      <c r="M24">
        <v>1213254.33</v>
      </c>
      <c r="N24">
        <v>1879486.09</v>
      </c>
      <c r="O24">
        <v>0</v>
      </c>
      <c r="P24">
        <v>0</v>
      </c>
      <c r="Q24">
        <v>0</v>
      </c>
      <c r="R24">
        <v>0</v>
      </c>
      <c r="S24">
        <v>68</v>
      </c>
      <c r="T24">
        <v>48</v>
      </c>
    </row>
    <row r="25" spans="1:20" x14ac:dyDescent="0.3">
      <c r="A25" t="s">
        <v>48</v>
      </c>
      <c r="B25" t="s">
        <v>29</v>
      </c>
      <c r="C25">
        <v>0</v>
      </c>
      <c r="D25">
        <v>0</v>
      </c>
      <c r="E25">
        <v>0</v>
      </c>
      <c r="F25">
        <v>38</v>
      </c>
      <c r="G25">
        <v>0</v>
      </c>
      <c r="H25">
        <v>38</v>
      </c>
      <c r="I25">
        <v>74540.850000000006</v>
      </c>
      <c r="J25">
        <v>0</v>
      </c>
      <c r="K25">
        <v>74540.850000000006</v>
      </c>
      <c r="L25">
        <v>38</v>
      </c>
      <c r="M25">
        <v>58384.3</v>
      </c>
      <c r="N25">
        <v>74540.850000000006</v>
      </c>
      <c r="O25">
        <v>0</v>
      </c>
      <c r="P25">
        <v>0</v>
      </c>
      <c r="Q25">
        <v>0</v>
      </c>
      <c r="R25">
        <v>0</v>
      </c>
      <c r="S25">
        <v>22</v>
      </c>
      <c r="T25">
        <v>3</v>
      </c>
    </row>
    <row r="26" spans="1:20" x14ac:dyDescent="0.3">
      <c r="A26" t="s">
        <v>49</v>
      </c>
      <c r="B26" t="s">
        <v>50</v>
      </c>
      <c r="C26">
        <v>595</v>
      </c>
      <c r="D26">
        <v>0</v>
      </c>
      <c r="E26">
        <v>55101.1</v>
      </c>
      <c r="F26">
        <v>0</v>
      </c>
      <c r="G26">
        <v>7</v>
      </c>
      <c r="H26">
        <v>-7</v>
      </c>
      <c r="I26">
        <v>0</v>
      </c>
      <c r="J26">
        <v>0</v>
      </c>
      <c r="K26">
        <v>0</v>
      </c>
      <c r="L26">
        <v>588</v>
      </c>
      <c r="M26">
        <v>0</v>
      </c>
      <c r="N26">
        <v>55101.1</v>
      </c>
      <c r="O26">
        <v>392</v>
      </c>
      <c r="P26">
        <v>0</v>
      </c>
      <c r="Q26">
        <v>427</v>
      </c>
      <c r="R26">
        <v>0</v>
      </c>
      <c r="S26">
        <v>528</v>
      </c>
      <c r="T26">
        <v>101</v>
      </c>
    </row>
    <row r="27" spans="1:20" x14ac:dyDescent="0.3">
      <c r="A27" t="s">
        <v>51</v>
      </c>
      <c r="B27" t="s">
        <v>21</v>
      </c>
      <c r="C27">
        <v>86</v>
      </c>
      <c r="D27">
        <v>308444.59999999998</v>
      </c>
      <c r="E27">
        <v>166600.23000000001</v>
      </c>
      <c r="F27">
        <v>0</v>
      </c>
      <c r="G27">
        <v>1</v>
      </c>
      <c r="H27">
        <v>-1</v>
      </c>
      <c r="I27">
        <v>0</v>
      </c>
      <c r="J27">
        <v>0</v>
      </c>
      <c r="K27">
        <v>0</v>
      </c>
      <c r="L27">
        <v>85</v>
      </c>
      <c r="M27">
        <v>308444.59999999998</v>
      </c>
      <c r="N27">
        <v>166600.23000000001</v>
      </c>
      <c r="O27">
        <v>0</v>
      </c>
      <c r="P27">
        <v>0</v>
      </c>
      <c r="Q27">
        <v>0</v>
      </c>
      <c r="R27">
        <v>0</v>
      </c>
      <c r="S27">
        <v>60</v>
      </c>
      <c r="T27">
        <v>0</v>
      </c>
    </row>
    <row r="28" spans="1:20" x14ac:dyDescent="0.3">
      <c r="A28" t="s">
        <v>52</v>
      </c>
      <c r="B28" t="s">
        <v>21</v>
      </c>
      <c r="C28">
        <v>37</v>
      </c>
      <c r="D28">
        <v>0</v>
      </c>
      <c r="E28">
        <v>0</v>
      </c>
      <c r="F28">
        <v>0</v>
      </c>
      <c r="G28">
        <v>37</v>
      </c>
      <c r="H28">
        <v>-37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t="s">
        <v>53</v>
      </c>
      <c r="B29" t="s">
        <v>21</v>
      </c>
      <c r="C29">
        <v>272</v>
      </c>
      <c r="D29">
        <v>1286220.32</v>
      </c>
      <c r="E29">
        <v>1358835.12</v>
      </c>
      <c r="F29">
        <v>0</v>
      </c>
      <c r="G29">
        <v>150</v>
      </c>
      <c r="H29">
        <v>-150</v>
      </c>
      <c r="I29">
        <v>0</v>
      </c>
      <c r="J29">
        <v>29874</v>
      </c>
      <c r="K29">
        <v>-29874</v>
      </c>
      <c r="L29">
        <v>122</v>
      </c>
      <c r="M29">
        <v>1126198.29</v>
      </c>
      <c r="N29">
        <v>1328961.1200000001</v>
      </c>
      <c r="O29">
        <v>1</v>
      </c>
      <c r="P29">
        <v>0</v>
      </c>
      <c r="Q29">
        <v>0</v>
      </c>
      <c r="R29">
        <v>0</v>
      </c>
      <c r="S29">
        <v>16</v>
      </c>
      <c r="T29">
        <v>8</v>
      </c>
    </row>
    <row r="30" spans="1:20" x14ac:dyDescent="0.3">
      <c r="A30" t="s">
        <v>54</v>
      </c>
      <c r="B30" t="s">
        <v>29</v>
      </c>
      <c r="C30">
        <v>218</v>
      </c>
      <c r="D30">
        <v>2997019.25</v>
      </c>
      <c r="E30">
        <v>2884935.27</v>
      </c>
      <c r="F30">
        <v>0</v>
      </c>
      <c r="G30">
        <v>44</v>
      </c>
      <c r="H30">
        <v>-44</v>
      </c>
      <c r="I30">
        <v>0</v>
      </c>
      <c r="J30">
        <v>24553.18</v>
      </c>
      <c r="K30">
        <v>-24553.18</v>
      </c>
      <c r="L30">
        <v>174</v>
      </c>
      <c r="M30">
        <v>2847032.16</v>
      </c>
      <c r="N30">
        <v>2860382.09</v>
      </c>
      <c r="O30">
        <v>0</v>
      </c>
      <c r="P30">
        <v>0</v>
      </c>
      <c r="Q30">
        <v>0</v>
      </c>
      <c r="R30">
        <v>0</v>
      </c>
      <c r="S30">
        <v>18</v>
      </c>
      <c r="T30">
        <v>0</v>
      </c>
    </row>
    <row r="31" spans="1:20" x14ac:dyDescent="0.3">
      <c r="A31" t="s">
        <v>55</v>
      </c>
      <c r="B31" t="s">
        <v>21</v>
      </c>
      <c r="C31">
        <v>3</v>
      </c>
      <c r="D31">
        <v>80655.5</v>
      </c>
      <c r="E31">
        <v>125930.53</v>
      </c>
      <c r="F31">
        <v>0</v>
      </c>
      <c r="G31">
        <v>1</v>
      </c>
      <c r="H31">
        <v>-1</v>
      </c>
      <c r="I31">
        <v>0</v>
      </c>
      <c r="J31">
        <v>0</v>
      </c>
      <c r="K31">
        <v>0</v>
      </c>
      <c r="L31">
        <v>2</v>
      </c>
      <c r="M31">
        <v>80655.5</v>
      </c>
      <c r="N31">
        <v>125930.53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 t="s">
        <v>56</v>
      </c>
      <c r="B32" t="s">
        <v>24</v>
      </c>
      <c r="C32">
        <v>938</v>
      </c>
      <c r="D32">
        <v>2556804.9</v>
      </c>
      <c r="E32">
        <v>2154258.2200000002</v>
      </c>
      <c r="F32">
        <v>160</v>
      </c>
      <c r="G32">
        <v>728</v>
      </c>
      <c r="H32">
        <v>-568</v>
      </c>
      <c r="I32">
        <v>913943.32</v>
      </c>
      <c r="J32">
        <v>1018916.4</v>
      </c>
      <c r="K32">
        <v>-104973.08</v>
      </c>
      <c r="L32">
        <v>370</v>
      </c>
      <c r="M32">
        <v>1541333.63</v>
      </c>
      <c r="N32">
        <v>2049285.14</v>
      </c>
      <c r="O32">
        <v>4</v>
      </c>
      <c r="P32">
        <v>5724.56</v>
      </c>
      <c r="Q32">
        <v>0</v>
      </c>
      <c r="R32">
        <v>0</v>
      </c>
      <c r="S32">
        <v>66</v>
      </c>
      <c r="T32">
        <v>32</v>
      </c>
    </row>
    <row r="33" spans="1:20" x14ac:dyDescent="0.3">
      <c r="A33" t="s">
        <v>57</v>
      </c>
      <c r="B33" t="s">
        <v>24</v>
      </c>
      <c r="C33">
        <v>1006</v>
      </c>
      <c r="D33">
        <v>2180626.56</v>
      </c>
      <c r="E33">
        <v>2169759.1800000002</v>
      </c>
      <c r="F33">
        <v>304</v>
      </c>
      <c r="G33">
        <v>838</v>
      </c>
      <c r="H33">
        <v>-534</v>
      </c>
      <c r="I33">
        <v>1682569.19</v>
      </c>
      <c r="J33">
        <v>1133139.3600000001</v>
      </c>
      <c r="K33">
        <v>549429.82999999996</v>
      </c>
      <c r="L33">
        <v>472</v>
      </c>
      <c r="M33">
        <v>1719775.93</v>
      </c>
      <c r="N33">
        <v>2719189.01</v>
      </c>
      <c r="O33">
        <v>2</v>
      </c>
      <c r="P33">
        <v>2407</v>
      </c>
      <c r="Q33">
        <v>0</v>
      </c>
      <c r="R33">
        <v>0</v>
      </c>
      <c r="S33">
        <v>89</v>
      </c>
      <c r="T33">
        <v>47</v>
      </c>
    </row>
    <row r="34" spans="1:20" x14ac:dyDescent="0.3">
      <c r="A34" t="s">
        <v>58</v>
      </c>
      <c r="B34" t="s">
        <v>21</v>
      </c>
      <c r="C34">
        <v>1</v>
      </c>
      <c r="D34">
        <v>1725</v>
      </c>
      <c r="E34">
        <v>1310</v>
      </c>
      <c r="F34">
        <v>0</v>
      </c>
      <c r="G34">
        <v>1</v>
      </c>
      <c r="H34">
        <v>-1</v>
      </c>
      <c r="I34">
        <v>0</v>
      </c>
      <c r="J34">
        <v>1310</v>
      </c>
      <c r="K34">
        <v>-1310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 t="s">
        <v>59</v>
      </c>
      <c r="B35" t="s">
        <v>21</v>
      </c>
      <c r="C35">
        <v>192</v>
      </c>
      <c r="D35">
        <v>199987.48</v>
      </c>
      <c r="E35">
        <v>234117.19</v>
      </c>
      <c r="F35">
        <v>0</v>
      </c>
      <c r="G35">
        <v>45</v>
      </c>
      <c r="H35">
        <v>-45</v>
      </c>
      <c r="I35">
        <v>0</v>
      </c>
      <c r="J35">
        <v>2800</v>
      </c>
      <c r="K35">
        <v>-2800</v>
      </c>
      <c r="L35">
        <v>147</v>
      </c>
      <c r="M35">
        <v>177764.48000000001</v>
      </c>
      <c r="N35">
        <v>231317.19</v>
      </c>
      <c r="O35">
        <v>91</v>
      </c>
      <c r="P35">
        <v>993</v>
      </c>
      <c r="Q35">
        <v>92</v>
      </c>
      <c r="R35">
        <v>0</v>
      </c>
      <c r="S35">
        <v>108</v>
      </c>
      <c r="T35">
        <v>12</v>
      </c>
    </row>
    <row r="36" spans="1:20" x14ac:dyDescent="0.3">
      <c r="A36" t="s">
        <v>60</v>
      </c>
      <c r="B36" t="s">
        <v>29</v>
      </c>
      <c r="C36">
        <v>224</v>
      </c>
      <c r="D36">
        <v>1678063.5</v>
      </c>
      <c r="E36">
        <v>1623756.33</v>
      </c>
      <c r="F36">
        <v>0</v>
      </c>
      <c r="G36">
        <v>79</v>
      </c>
      <c r="H36">
        <v>-79</v>
      </c>
      <c r="I36">
        <v>0</v>
      </c>
      <c r="J36">
        <v>32013.52</v>
      </c>
      <c r="K36">
        <v>-32013.52</v>
      </c>
      <c r="L36">
        <v>145</v>
      </c>
      <c r="M36">
        <v>1542970.44</v>
      </c>
      <c r="N36">
        <v>1591742.81</v>
      </c>
      <c r="O36">
        <v>0</v>
      </c>
      <c r="P36">
        <v>0</v>
      </c>
      <c r="Q36">
        <v>0</v>
      </c>
      <c r="R36">
        <v>0</v>
      </c>
      <c r="S36">
        <v>22</v>
      </c>
      <c r="T36">
        <v>0</v>
      </c>
    </row>
    <row r="37" spans="1:20" x14ac:dyDescent="0.3">
      <c r="A37" t="s">
        <v>61</v>
      </c>
      <c r="B37" t="s">
        <v>29</v>
      </c>
      <c r="C37">
        <v>364</v>
      </c>
      <c r="D37">
        <v>3362816.28</v>
      </c>
      <c r="E37">
        <v>3089300.76</v>
      </c>
      <c r="F37">
        <v>0</v>
      </c>
      <c r="G37">
        <v>159</v>
      </c>
      <c r="H37">
        <v>-159</v>
      </c>
      <c r="I37">
        <v>0</v>
      </c>
      <c r="J37">
        <v>47985.22</v>
      </c>
      <c r="K37">
        <v>-47985.22</v>
      </c>
      <c r="L37">
        <v>205</v>
      </c>
      <c r="M37">
        <v>3074557.46</v>
      </c>
      <c r="N37">
        <v>3041315.54</v>
      </c>
      <c r="O37">
        <v>2</v>
      </c>
      <c r="P37">
        <v>-2015</v>
      </c>
      <c r="Q37">
        <v>0</v>
      </c>
      <c r="R37">
        <v>0</v>
      </c>
      <c r="S37">
        <v>19</v>
      </c>
      <c r="T37">
        <v>3</v>
      </c>
    </row>
    <row r="38" spans="1:20" x14ac:dyDescent="0.3">
      <c r="A38" t="s">
        <v>62</v>
      </c>
      <c r="B38" t="s">
        <v>50</v>
      </c>
      <c r="C38">
        <v>432</v>
      </c>
      <c r="D38">
        <v>0</v>
      </c>
      <c r="E38">
        <v>55119.6</v>
      </c>
      <c r="F38">
        <v>1</v>
      </c>
      <c r="G38">
        <v>3</v>
      </c>
      <c r="H38">
        <v>-2</v>
      </c>
      <c r="I38">
        <v>0</v>
      </c>
      <c r="J38">
        <v>0</v>
      </c>
      <c r="K38">
        <v>0</v>
      </c>
      <c r="L38">
        <v>430</v>
      </c>
      <c r="M38">
        <v>0</v>
      </c>
      <c r="N38">
        <v>55119.6</v>
      </c>
      <c r="O38">
        <v>275</v>
      </c>
      <c r="P38">
        <v>0</v>
      </c>
      <c r="Q38">
        <v>291</v>
      </c>
      <c r="R38">
        <v>0</v>
      </c>
      <c r="S38">
        <v>378</v>
      </c>
      <c r="T38">
        <v>87</v>
      </c>
    </row>
    <row r="39" spans="1:20" x14ac:dyDescent="0.3">
      <c r="A39" t="s">
        <v>63</v>
      </c>
      <c r="B39" t="s">
        <v>21</v>
      </c>
      <c r="C39">
        <v>329</v>
      </c>
      <c r="D39">
        <v>737046.94</v>
      </c>
      <c r="E39">
        <v>856235.45</v>
      </c>
      <c r="F39">
        <v>0</v>
      </c>
      <c r="G39">
        <v>209</v>
      </c>
      <c r="H39">
        <v>-209</v>
      </c>
      <c r="I39">
        <v>0</v>
      </c>
      <c r="J39">
        <v>46446.8</v>
      </c>
      <c r="K39">
        <v>-46446.8</v>
      </c>
      <c r="L39">
        <v>120</v>
      </c>
      <c r="M39">
        <v>577125.12</v>
      </c>
      <c r="N39">
        <v>809788.65</v>
      </c>
      <c r="O39">
        <v>0</v>
      </c>
      <c r="P39">
        <v>0</v>
      </c>
      <c r="Q39">
        <v>0</v>
      </c>
      <c r="R39">
        <v>0</v>
      </c>
      <c r="S39">
        <v>36</v>
      </c>
      <c r="T39">
        <v>11</v>
      </c>
    </row>
    <row r="40" spans="1:20" x14ac:dyDescent="0.3">
      <c r="A40" t="s">
        <v>64</v>
      </c>
      <c r="B40" t="s">
        <v>21</v>
      </c>
      <c r="C40">
        <v>132</v>
      </c>
      <c r="D40">
        <v>602852.37</v>
      </c>
      <c r="E40">
        <v>541001.96</v>
      </c>
      <c r="F40">
        <v>0</v>
      </c>
      <c r="G40">
        <v>72</v>
      </c>
      <c r="H40">
        <v>-72</v>
      </c>
      <c r="I40">
        <v>0</v>
      </c>
      <c r="J40">
        <v>26481.39</v>
      </c>
      <c r="K40">
        <v>-26481.39</v>
      </c>
      <c r="L40">
        <v>60</v>
      </c>
      <c r="M40">
        <v>513810.52</v>
      </c>
      <c r="N40">
        <v>514520.57</v>
      </c>
      <c r="O40">
        <v>0</v>
      </c>
      <c r="P40">
        <v>0</v>
      </c>
      <c r="Q40">
        <v>0</v>
      </c>
      <c r="R40">
        <v>0</v>
      </c>
      <c r="S40">
        <v>10</v>
      </c>
      <c r="T40">
        <v>2</v>
      </c>
    </row>
    <row r="41" spans="1:20" x14ac:dyDescent="0.3">
      <c r="A41" t="s">
        <v>65</v>
      </c>
      <c r="B41" t="s">
        <v>24</v>
      </c>
      <c r="C41">
        <v>2490</v>
      </c>
      <c r="D41">
        <v>179461.27</v>
      </c>
      <c r="E41">
        <v>1555673.72</v>
      </c>
      <c r="F41">
        <v>273</v>
      </c>
      <c r="G41">
        <v>2421</v>
      </c>
      <c r="H41">
        <v>-2148</v>
      </c>
      <c r="I41">
        <v>1736978.6</v>
      </c>
      <c r="J41">
        <v>1376923.38</v>
      </c>
      <c r="K41">
        <v>360055.22</v>
      </c>
      <c r="L41">
        <v>342</v>
      </c>
      <c r="M41">
        <v>1300197.29</v>
      </c>
      <c r="N41">
        <v>1915728.94</v>
      </c>
      <c r="O41">
        <v>0</v>
      </c>
      <c r="P41">
        <v>0</v>
      </c>
      <c r="Q41">
        <v>0</v>
      </c>
      <c r="R41">
        <v>0</v>
      </c>
      <c r="S41">
        <v>70</v>
      </c>
      <c r="T41">
        <v>42</v>
      </c>
    </row>
    <row r="42" spans="1:20" x14ac:dyDescent="0.3">
      <c r="A42" t="s">
        <v>66</v>
      </c>
      <c r="B42" t="s">
        <v>21</v>
      </c>
      <c r="C42">
        <v>165</v>
      </c>
      <c r="D42">
        <v>118676.8</v>
      </c>
      <c r="E42">
        <v>326398.21999999997</v>
      </c>
      <c r="F42">
        <v>0</v>
      </c>
      <c r="G42">
        <v>54</v>
      </c>
      <c r="H42">
        <v>-54</v>
      </c>
      <c r="I42">
        <v>0</v>
      </c>
      <c r="J42">
        <v>12150.78</v>
      </c>
      <c r="K42">
        <v>-12150.78</v>
      </c>
      <c r="L42">
        <v>111</v>
      </c>
      <c r="M42">
        <v>77456.5</v>
      </c>
      <c r="N42">
        <v>314247.44</v>
      </c>
      <c r="O42">
        <v>74</v>
      </c>
      <c r="P42">
        <v>0</v>
      </c>
      <c r="Q42">
        <v>77</v>
      </c>
      <c r="R42">
        <v>0</v>
      </c>
      <c r="S42">
        <v>88</v>
      </c>
      <c r="T42">
        <v>7</v>
      </c>
    </row>
    <row r="43" spans="1:20" x14ac:dyDescent="0.3">
      <c r="A43" t="s">
        <v>67</v>
      </c>
      <c r="B43" t="s">
        <v>21</v>
      </c>
      <c r="C43">
        <v>240</v>
      </c>
      <c r="D43">
        <v>750560.15</v>
      </c>
      <c r="E43">
        <v>820619.48</v>
      </c>
      <c r="F43">
        <v>0</v>
      </c>
      <c r="G43">
        <v>139</v>
      </c>
      <c r="H43">
        <v>-139</v>
      </c>
      <c r="I43">
        <v>0</v>
      </c>
      <c r="J43">
        <v>13496.75</v>
      </c>
      <c r="K43">
        <v>-13496.75</v>
      </c>
      <c r="L43">
        <v>101</v>
      </c>
      <c r="M43">
        <v>598834.36</v>
      </c>
      <c r="N43">
        <v>807122.73</v>
      </c>
      <c r="O43">
        <v>1</v>
      </c>
      <c r="P43">
        <v>0</v>
      </c>
      <c r="Q43">
        <v>0</v>
      </c>
      <c r="R43">
        <v>0</v>
      </c>
      <c r="S43">
        <v>25</v>
      </c>
      <c r="T43">
        <v>4</v>
      </c>
    </row>
    <row r="44" spans="1:20" x14ac:dyDescent="0.3">
      <c r="A44" t="s">
        <v>68</v>
      </c>
      <c r="B44" t="s">
        <v>21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</row>
    <row r="45" spans="1:20" x14ac:dyDescent="0.3">
      <c r="A45" t="s">
        <v>69</v>
      </c>
      <c r="B45" t="s">
        <v>21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 x14ac:dyDescent="0.3">
      <c r="A46" t="s">
        <v>70</v>
      </c>
      <c r="B46" t="s">
        <v>29</v>
      </c>
      <c r="C46">
        <v>184</v>
      </c>
      <c r="D46">
        <v>1910383.7</v>
      </c>
      <c r="E46">
        <v>1805917.18</v>
      </c>
      <c r="F46">
        <v>0</v>
      </c>
      <c r="G46">
        <v>64</v>
      </c>
      <c r="H46">
        <v>-64</v>
      </c>
      <c r="I46">
        <v>0</v>
      </c>
      <c r="J46">
        <v>23977.35</v>
      </c>
      <c r="K46">
        <v>-23977.35</v>
      </c>
      <c r="L46">
        <v>120</v>
      </c>
      <c r="M46">
        <v>1835515.16</v>
      </c>
      <c r="N46">
        <v>1781939.83</v>
      </c>
      <c r="O46">
        <v>1</v>
      </c>
      <c r="P46">
        <v>1673</v>
      </c>
      <c r="Q46">
        <v>0</v>
      </c>
      <c r="R46">
        <v>0</v>
      </c>
      <c r="S46">
        <v>25</v>
      </c>
      <c r="T46">
        <v>2</v>
      </c>
    </row>
    <row r="47" spans="1:20" x14ac:dyDescent="0.3">
      <c r="A47" t="s">
        <v>71</v>
      </c>
      <c r="B47" t="s">
        <v>29</v>
      </c>
      <c r="C47">
        <v>239</v>
      </c>
      <c r="D47">
        <v>1684730.14</v>
      </c>
      <c r="E47">
        <v>1584817.02</v>
      </c>
      <c r="F47">
        <v>0</v>
      </c>
      <c r="G47">
        <v>90</v>
      </c>
      <c r="H47">
        <v>-90</v>
      </c>
      <c r="I47">
        <v>0</v>
      </c>
      <c r="J47">
        <v>29777.81</v>
      </c>
      <c r="K47">
        <v>-29777.81</v>
      </c>
      <c r="L47">
        <v>149</v>
      </c>
      <c r="M47">
        <v>1461828.67</v>
      </c>
      <c r="N47">
        <v>1555039.21</v>
      </c>
      <c r="O47">
        <v>1</v>
      </c>
      <c r="P47">
        <v>42</v>
      </c>
      <c r="Q47">
        <v>0</v>
      </c>
      <c r="R47">
        <v>0</v>
      </c>
      <c r="S47">
        <v>23</v>
      </c>
      <c r="T47">
        <v>8</v>
      </c>
    </row>
    <row r="48" spans="1:20" x14ac:dyDescent="0.3">
      <c r="A48" t="s">
        <v>72</v>
      </c>
      <c r="B48" t="s">
        <v>21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 x14ac:dyDescent="0.3">
      <c r="A49" t="s">
        <v>73</v>
      </c>
      <c r="B49" t="s">
        <v>21</v>
      </c>
      <c r="C49">
        <v>5241</v>
      </c>
      <c r="D49">
        <v>426488.14</v>
      </c>
      <c r="E49">
        <v>996346.2</v>
      </c>
      <c r="F49">
        <v>0</v>
      </c>
      <c r="G49">
        <v>4917</v>
      </c>
      <c r="H49">
        <v>-4917</v>
      </c>
      <c r="I49">
        <v>0</v>
      </c>
      <c r="J49">
        <v>683342.38</v>
      </c>
      <c r="K49">
        <v>-683342.38</v>
      </c>
      <c r="L49">
        <v>324</v>
      </c>
      <c r="M49">
        <v>284847.34000000003</v>
      </c>
      <c r="N49">
        <v>313003.82</v>
      </c>
      <c r="O49">
        <v>0</v>
      </c>
      <c r="P49">
        <v>0</v>
      </c>
      <c r="Q49">
        <v>0</v>
      </c>
      <c r="R49">
        <v>0</v>
      </c>
      <c r="S49">
        <v>285</v>
      </c>
      <c r="T49">
        <v>8</v>
      </c>
    </row>
    <row r="50" spans="1:20" x14ac:dyDescent="0.3">
      <c r="A50" t="s">
        <v>74</v>
      </c>
      <c r="B50" t="s">
        <v>21</v>
      </c>
      <c r="C50">
        <v>30</v>
      </c>
      <c r="D50">
        <v>6248721.3899999997</v>
      </c>
      <c r="E50">
        <v>3909234.27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30</v>
      </c>
      <c r="M50">
        <v>6248721.3899999997</v>
      </c>
      <c r="N50">
        <v>3909234.27</v>
      </c>
      <c r="O50">
        <v>0</v>
      </c>
      <c r="P50">
        <v>0</v>
      </c>
      <c r="Q50">
        <v>0</v>
      </c>
      <c r="R50">
        <v>0</v>
      </c>
      <c r="S50">
        <v>14</v>
      </c>
      <c r="T50">
        <v>0</v>
      </c>
    </row>
    <row r="51" spans="1:20" x14ac:dyDescent="0.3">
      <c r="A51" t="s">
        <v>75</v>
      </c>
      <c r="B51" t="s">
        <v>29</v>
      </c>
      <c r="C51">
        <v>161</v>
      </c>
      <c r="D51">
        <v>1735276.45</v>
      </c>
      <c r="E51">
        <v>1512559.56</v>
      </c>
      <c r="F51">
        <v>0</v>
      </c>
      <c r="G51">
        <v>31</v>
      </c>
      <c r="H51">
        <v>-31</v>
      </c>
      <c r="I51">
        <v>0</v>
      </c>
      <c r="J51">
        <v>12547.45</v>
      </c>
      <c r="K51">
        <v>-12547.45</v>
      </c>
      <c r="L51">
        <v>130</v>
      </c>
      <c r="M51">
        <v>1698057.42</v>
      </c>
      <c r="N51">
        <v>1500012.11</v>
      </c>
      <c r="O51">
        <v>0</v>
      </c>
      <c r="P51">
        <v>0</v>
      </c>
      <c r="Q51">
        <v>0</v>
      </c>
      <c r="R51">
        <v>0</v>
      </c>
      <c r="S51">
        <v>16</v>
      </c>
      <c r="T51">
        <v>5</v>
      </c>
    </row>
    <row r="52" spans="1:20" x14ac:dyDescent="0.3">
      <c r="A52" t="s">
        <v>76</v>
      </c>
      <c r="B52" t="s">
        <v>21</v>
      </c>
      <c r="C52">
        <v>3</v>
      </c>
      <c r="D52">
        <v>516</v>
      </c>
      <c r="E52">
        <v>8564</v>
      </c>
      <c r="F52">
        <v>0</v>
      </c>
      <c r="G52">
        <v>1</v>
      </c>
      <c r="H52">
        <v>-1</v>
      </c>
      <c r="I52">
        <v>0</v>
      </c>
      <c r="J52">
        <v>0</v>
      </c>
      <c r="K52">
        <v>0</v>
      </c>
      <c r="L52">
        <v>2</v>
      </c>
      <c r="M52">
        <v>516</v>
      </c>
      <c r="N52">
        <v>8564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</row>
    <row r="53" spans="1:20" x14ac:dyDescent="0.3">
      <c r="A53" t="s">
        <v>77</v>
      </c>
      <c r="B53" t="s">
        <v>21</v>
      </c>
      <c r="C53">
        <v>193</v>
      </c>
      <c r="D53">
        <v>1241834.71</v>
      </c>
      <c r="E53">
        <v>1134956.3999999999</v>
      </c>
      <c r="F53">
        <v>0</v>
      </c>
      <c r="G53">
        <v>79</v>
      </c>
      <c r="H53">
        <v>-79</v>
      </c>
      <c r="I53">
        <v>0</v>
      </c>
      <c r="J53">
        <v>36169.379999999997</v>
      </c>
      <c r="K53">
        <v>-36169.379999999997</v>
      </c>
      <c r="L53">
        <v>114</v>
      </c>
      <c r="M53">
        <v>1135039.48</v>
      </c>
      <c r="N53">
        <v>1098787.02</v>
      </c>
      <c r="O53">
        <v>0</v>
      </c>
      <c r="P53">
        <v>0</v>
      </c>
      <c r="Q53">
        <v>0</v>
      </c>
      <c r="R53">
        <v>0</v>
      </c>
      <c r="S53">
        <v>16</v>
      </c>
      <c r="T53">
        <v>3</v>
      </c>
    </row>
    <row r="54" spans="1:20" x14ac:dyDescent="0.3">
      <c r="A54" t="s">
        <v>78</v>
      </c>
      <c r="B54" t="s">
        <v>27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3</v>
      </c>
      <c r="P54">
        <v>0</v>
      </c>
      <c r="Q54">
        <v>3</v>
      </c>
      <c r="R54">
        <v>0</v>
      </c>
      <c r="S54">
        <v>3</v>
      </c>
      <c r="T54">
        <v>0</v>
      </c>
    </row>
    <row r="55" spans="1:20" x14ac:dyDescent="0.3">
      <c r="A55" t="s">
        <v>79</v>
      </c>
      <c r="B55" t="s">
        <v>29</v>
      </c>
      <c r="C55">
        <v>0</v>
      </c>
      <c r="D55">
        <v>0</v>
      </c>
      <c r="E55">
        <v>0</v>
      </c>
      <c r="F55">
        <v>9083</v>
      </c>
      <c r="G55">
        <v>0</v>
      </c>
      <c r="H55">
        <v>9083</v>
      </c>
      <c r="I55">
        <v>1807893.5</v>
      </c>
      <c r="J55">
        <v>0</v>
      </c>
      <c r="K55">
        <v>1807893.5</v>
      </c>
      <c r="L55">
        <v>9083</v>
      </c>
      <c r="M55">
        <v>6255967.0599999996</v>
      </c>
      <c r="N55">
        <v>1807893.5</v>
      </c>
      <c r="O55">
        <v>0</v>
      </c>
      <c r="P55">
        <v>0</v>
      </c>
      <c r="Q55">
        <v>0</v>
      </c>
      <c r="R55">
        <v>0</v>
      </c>
      <c r="S55">
        <v>7138</v>
      </c>
      <c r="T55">
        <v>34</v>
      </c>
    </row>
    <row r="56" spans="1:20" x14ac:dyDescent="0.3">
      <c r="A56" t="s">
        <v>80</v>
      </c>
      <c r="B56" t="s">
        <v>29</v>
      </c>
      <c r="C56">
        <v>0</v>
      </c>
      <c r="D56">
        <v>0</v>
      </c>
      <c r="E56">
        <v>0</v>
      </c>
      <c r="F56">
        <v>405</v>
      </c>
      <c r="G56">
        <v>0</v>
      </c>
      <c r="H56">
        <v>405</v>
      </c>
      <c r="I56">
        <v>0</v>
      </c>
      <c r="J56">
        <v>0</v>
      </c>
      <c r="K56">
        <v>0</v>
      </c>
      <c r="L56">
        <v>405</v>
      </c>
      <c r="M56">
        <v>0</v>
      </c>
      <c r="N56">
        <v>0</v>
      </c>
      <c r="O56">
        <v>0</v>
      </c>
      <c r="P56">
        <v>0</v>
      </c>
      <c r="Q56">
        <v>405</v>
      </c>
      <c r="R56">
        <v>0</v>
      </c>
      <c r="S56">
        <v>405</v>
      </c>
      <c r="T56">
        <v>0</v>
      </c>
    </row>
    <row r="57" spans="1:20" x14ac:dyDescent="0.3">
      <c r="A57" t="s">
        <v>81</v>
      </c>
      <c r="B57" t="s">
        <v>29</v>
      </c>
      <c r="C57">
        <v>0</v>
      </c>
      <c r="D57">
        <v>0</v>
      </c>
      <c r="E57">
        <v>0</v>
      </c>
      <c r="F57">
        <v>5669</v>
      </c>
      <c r="G57">
        <v>0</v>
      </c>
      <c r="H57">
        <v>5669</v>
      </c>
      <c r="I57">
        <v>0</v>
      </c>
      <c r="J57">
        <v>0</v>
      </c>
      <c r="K57">
        <v>0</v>
      </c>
      <c r="L57">
        <v>5669</v>
      </c>
      <c r="M57">
        <v>0</v>
      </c>
      <c r="N57">
        <v>0</v>
      </c>
      <c r="O57">
        <v>0</v>
      </c>
      <c r="P57">
        <v>0</v>
      </c>
      <c r="Q57">
        <v>5669</v>
      </c>
      <c r="R57">
        <v>0</v>
      </c>
      <c r="S57">
        <v>5669</v>
      </c>
      <c r="T57">
        <v>1</v>
      </c>
    </row>
    <row r="58" spans="1:20" x14ac:dyDescent="0.3">
      <c r="A58" t="s">
        <v>82</v>
      </c>
      <c r="B58" t="s">
        <v>29</v>
      </c>
      <c r="C58">
        <v>200</v>
      </c>
      <c r="D58">
        <v>1262360.52</v>
      </c>
      <c r="E58">
        <v>1090121.99</v>
      </c>
      <c r="F58">
        <v>0</v>
      </c>
      <c r="G58">
        <v>82</v>
      </c>
      <c r="H58">
        <v>-82</v>
      </c>
      <c r="I58">
        <v>0</v>
      </c>
      <c r="J58">
        <v>26435.439999999999</v>
      </c>
      <c r="K58">
        <v>-26435.439999999999</v>
      </c>
      <c r="L58">
        <v>118</v>
      </c>
      <c r="M58">
        <v>1134371.3799999999</v>
      </c>
      <c r="N58">
        <v>1063686.55</v>
      </c>
      <c r="O58">
        <v>1</v>
      </c>
      <c r="P58">
        <v>1917</v>
      </c>
      <c r="Q58">
        <v>0</v>
      </c>
      <c r="R58">
        <v>0</v>
      </c>
      <c r="S58">
        <v>21</v>
      </c>
      <c r="T58">
        <v>7</v>
      </c>
    </row>
    <row r="59" spans="1:20" x14ac:dyDescent="0.3">
      <c r="A59" t="s">
        <v>83</v>
      </c>
      <c r="B59" t="s">
        <v>21</v>
      </c>
      <c r="C59">
        <v>452</v>
      </c>
      <c r="D59">
        <v>0</v>
      </c>
      <c r="E59">
        <v>0</v>
      </c>
      <c r="F59">
        <v>0</v>
      </c>
      <c r="G59">
        <v>2</v>
      </c>
      <c r="H59">
        <v>-2</v>
      </c>
      <c r="I59">
        <v>0</v>
      </c>
      <c r="J59">
        <v>0</v>
      </c>
      <c r="K59">
        <v>0</v>
      </c>
      <c r="L59">
        <v>450</v>
      </c>
      <c r="M59">
        <v>0</v>
      </c>
      <c r="N59">
        <v>0</v>
      </c>
      <c r="O59">
        <v>339</v>
      </c>
      <c r="P59">
        <v>0</v>
      </c>
      <c r="Q59">
        <v>450</v>
      </c>
      <c r="R59">
        <v>0</v>
      </c>
      <c r="S59">
        <v>450</v>
      </c>
      <c r="T59">
        <v>0</v>
      </c>
    </row>
    <row r="60" spans="1:20" x14ac:dyDescent="0.3">
      <c r="A60" t="s">
        <v>84</v>
      </c>
      <c r="B60" t="s">
        <v>21</v>
      </c>
      <c r="C60">
        <v>475</v>
      </c>
      <c r="D60">
        <v>2237042.31</v>
      </c>
      <c r="E60">
        <v>2118559.2799999998</v>
      </c>
      <c r="F60">
        <v>0</v>
      </c>
      <c r="G60">
        <v>205</v>
      </c>
      <c r="H60">
        <v>-205</v>
      </c>
      <c r="I60">
        <v>0</v>
      </c>
      <c r="J60">
        <v>15963.42</v>
      </c>
      <c r="K60">
        <v>-15963.42</v>
      </c>
      <c r="L60">
        <v>270</v>
      </c>
      <c r="M60">
        <v>2102702.0499999998</v>
      </c>
      <c r="N60">
        <v>2102595.86</v>
      </c>
      <c r="O60">
        <v>12</v>
      </c>
      <c r="P60">
        <v>5858.5</v>
      </c>
      <c r="Q60">
        <v>0</v>
      </c>
      <c r="R60">
        <v>0</v>
      </c>
      <c r="S60">
        <v>89</v>
      </c>
      <c r="T60">
        <v>10</v>
      </c>
    </row>
    <row r="61" spans="1:20" x14ac:dyDescent="0.3">
      <c r="A61" t="s">
        <v>85</v>
      </c>
      <c r="B61" t="s">
        <v>21</v>
      </c>
      <c r="C61">
        <v>160</v>
      </c>
      <c r="D61">
        <v>142579.72</v>
      </c>
      <c r="E61">
        <v>212981.42</v>
      </c>
      <c r="F61">
        <v>0</v>
      </c>
      <c r="G61">
        <v>80</v>
      </c>
      <c r="H61">
        <v>-80</v>
      </c>
      <c r="I61">
        <v>0</v>
      </c>
      <c r="J61">
        <v>9039.6200000000008</v>
      </c>
      <c r="K61">
        <v>-9039.6200000000008</v>
      </c>
      <c r="L61">
        <v>80</v>
      </c>
      <c r="M61">
        <v>89487.42</v>
      </c>
      <c r="N61">
        <v>203941.8</v>
      </c>
      <c r="O61">
        <v>5</v>
      </c>
      <c r="P61">
        <v>4973.6000000000004</v>
      </c>
      <c r="Q61">
        <v>0</v>
      </c>
      <c r="R61">
        <v>0</v>
      </c>
      <c r="S61">
        <v>33</v>
      </c>
      <c r="T61">
        <v>30</v>
      </c>
    </row>
    <row r="62" spans="1:20" x14ac:dyDescent="0.3">
      <c r="A62" t="s">
        <v>86</v>
      </c>
      <c r="B62" t="s">
        <v>87</v>
      </c>
      <c r="C62">
        <v>153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153</v>
      </c>
      <c r="M62">
        <v>0</v>
      </c>
      <c r="N62">
        <v>0</v>
      </c>
      <c r="O62">
        <v>147</v>
      </c>
      <c r="P62">
        <v>0</v>
      </c>
      <c r="Q62">
        <v>153</v>
      </c>
      <c r="R62">
        <v>0</v>
      </c>
      <c r="S62">
        <v>153</v>
      </c>
      <c r="T62">
        <v>0</v>
      </c>
    </row>
    <row r="63" spans="1:20" x14ac:dyDescent="0.3">
      <c r="A63" t="s">
        <v>88</v>
      </c>
      <c r="B63" t="s">
        <v>21</v>
      </c>
      <c r="C63">
        <v>164</v>
      </c>
      <c r="D63">
        <v>838775.52</v>
      </c>
      <c r="E63">
        <v>833953.04</v>
      </c>
      <c r="F63">
        <v>0</v>
      </c>
      <c r="G63">
        <v>98</v>
      </c>
      <c r="H63">
        <v>-98</v>
      </c>
      <c r="I63">
        <v>0</v>
      </c>
      <c r="J63">
        <v>16680.599999999999</v>
      </c>
      <c r="K63">
        <v>-16680.599999999999</v>
      </c>
      <c r="L63">
        <v>66</v>
      </c>
      <c r="M63">
        <v>702751.42</v>
      </c>
      <c r="N63">
        <v>817272.44</v>
      </c>
      <c r="O63">
        <v>1</v>
      </c>
      <c r="P63">
        <v>0</v>
      </c>
      <c r="Q63">
        <v>0</v>
      </c>
      <c r="R63">
        <v>0</v>
      </c>
      <c r="S63">
        <v>8</v>
      </c>
      <c r="T63">
        <v>1</v>
      </c>
    </row>
    <row r="64" spans="1:20" x14ac:dyDescent="0.3">
      <c r="A64" t="s">
        <v>89</v>
      </c>
      <c r="B64" t="s">
        <v>21</v>
      </c>
      <c r="C64">
        <v>163</v>
      </c>
      <c r="D64">
        <v>1418968.01</v>
      </c>
      <c r="E64">
        <v>1585036.97</v>
      </c>
      <c r="F64">
        <v>0</v>
      </c>
      <c r="G64">
        <v>68</v>
      </c>
      <c r="H64">
        <v>-68</v>
      </c>
      <c r="I64">
        <v>0</v>
      </c>
      <c r="J64">
        <v>18851.5</v>
      </c>
      <c r="K64">
        <v>-18851.5</v>
      </c>
      <c r="L64">
        <v>95</v>
      </c>
      <c r="M64">
        <v>1334874.3600000001</v>
      </c>
      <c r="N64">
        <v>1566185.47</v>
      </c>
      <c r="O64">
        <v>0</v>
      </c>
      <c r="P64">
        <v>0</v>
      </c>
      <c r="Q64">
        <v>0</v>
      </c>
      <c r="R64">
        <v>0</v>
      </c>
      <c r="S64">
        <v>22</v>
      </c>
      <c r="T64">
        <v>5</v>
      </c>
    </row>
    <row r="65" spans="1:20" x14ac:dyDescent="0.3">
      <c r="A65" t="s">
        <v>90</v>
      </c>
      <c r="B65" t="s">
        <v>21</v>
      </c>
      <c r="C65">
        <v>278</v>
      </c>
      <c r="D65">
        <v>1747291.31</v>
      </c>
      <c r="E65">
        <v>1711828.84</v>
      </c>
      <c r="F65">
        <v>0</v>
      </c>
      <c r="G65">
        <v>129</v>
      </c>
      <c r="H65">
        <v>-129</v>
      </c>
      <c r="I65">
        <v>0</v>
      </c>
      <c r="J65">
        <v>35450.22</v>
      </c>
      <c r="K65">
        <v>-35450.22</v>
      </c>
      <c r="L65">
        <v>149</v>
      </c>
      <c r="M65">
        <v>1622456.38</v>
      </c>
      <c r="N65">
        <v>1676378.62</v>
      </c>
      <c r="O65">
        <v>5</v>
      </c>
      <c r="P65">
        <v>3088</v>
      </c>
      <c r="Q65">
        <v>0</v>
      </c>
      <c r="R65">
        <v>0</v>
      </c>
      <c r="S65">
        <v>31</v>
      </c>
      <c r="T65">
        <v>7</v>
      </c>
    </row>
    <row r="66" spans="1:20" x14ac:dyDescent="0.3">
      <c r="A66" t="s">
        <v>91</v>
      </c>
      <c r="B66" t="s">
        <v>21</v>
      </c>
      <c r="C66">
        <v>310</v>
      </c>
      <c r="D66">
        <v>23678.92</v>
      </c>
      <c r="E66">
        <v>-304071.99</v>
      </c>
      <c r="F66">
        <v>0</v>
      </c>
      <c r="G66">
        <v>193</v>
      </c>
      <c r="H66">
        <v>-193</v>
      </c>
      <c r="I66">
        <v>0</v>
      </c>
      <c r="J66">
        <v>0</v>
      </c>
      <c r="K66">
        <v>0</v>
      </c>
      <c r="L66">
        <v>117</v>
      </c>
      <c r="M66">
        <v>21547.919999999998</v>
      </c>
      <c r="N66">
        <v>-304071.99</v>
      </c>
      <c r="O66">
        <v>0</v>
      </c>
      <c r="P66">
        <v>0</v>
      </c>
      <c r="Q66">
        <v>0</v>
      </c>
      <c r="R66">
        <v>0</v>
      </c>
      <c r="S66">
        <v>115</v>
      </c>
      <c r="T66">
        <v>0</v>
      </c>
    </row>
    <row r="67" spans="1:20" x14ac:dyDescent="0.3">
      <c r="A67" t="s">
        <v>92</v>
      </c>
      <c r="B67" t="s">
        <v>21</v>
      </c>
      <c r="C67">
        <v>9</v>
      </c>
      <c r="D67">
        <v>12.33</v>
      </c>
      <c r="E67">
        <v>-18.43</v>
      </c>
      <c r="F67">
        <v>0</v>
      </c>
      <c r="G67">
        <v>6</v>
      </c>
      <c r="H67">
        <v>-6</v>
      </c>
      <c r="I67">
        <v>0</v>
      </c>
      <c r="J67">
        <v>-20.48</v>
      </c>
      <c r="K67">
        <v>20.48</v>
      </c>
      <c r="L67">
        <v>3</v>
      </c>
      <c r="M67">
        <v>2.0499999999999998</v>
      </c>
      <c r="N67">
        <v>2.0499999999999998</v>
      </c>
      <c r="O67">
        <v>0</v>
      </c>
      <c r="P67">
        <v>0</v>
      </c>
      <c r="Q67">
        <v>0</v>
      </c>
      <c r="R67">
        <v>0</v>
      </c>
      <c r="S67">
        <v>2</v>
      </c>
      <c r="T67">
        <v>1</v>
      </c>
    </row>
    <row r="68" spans="1:20" x14ac:dyDescent="0.3">
      <c r="A68" t="s">
        <v>93</v>
      </c>
      <c r="B68" t="s">
        <v>21</v>
      </c>
      <c r="C68">
        <v>5</v>
      </c>
      <c r="D68">
        <v>0</v>
      </c>
      <c r="E68">
        <v>0</v>
      </c>
      <c r="F68">
        <v>0</v>
      </c>
      <c r="G68">
        <v>1</v>
      </c>
      <c r="H68">
        <v>-1</v>
      </c>
      <c r="I68">
        <v>0</v>
      </c>
      <c r="J68">
        <v>0</v>
      </c>
      <c r="K68">
        <v>0</v>
      </c>
      <c r="L68">
        <v>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</v>
      </c>
      <c r="T68">
        <v>0</v>
      </c>
    </row>
    <row r="69" spans="1:20" x14ac:dyDescent="0.3">
      <c r="A69" t="s">
        <v>94</v>
      </c>
      <c r="B69" t="s">
        <v>21</v>
      </c>
      <c r="C69">
        <v>196</v>
      </c>
      <c r="D69">
        <v>118591.03999999999</v>
      </c>
      <c r="E69">
        <v>108830.14</v>
      </c>
      <c r="F69">
        <v>0</v>
      </c>
      <c r="G69">
        <v>52</v>
      </c>
      <c r="H69">
        <v>-52</v>
      </c>
      <c r="I69">
        <v>0</v>
      </c>
      <c r="J69">
        <v>6288.25</v>
      </c>
      <c r="K69">
        <v>-6288.25</v>
      </c>
      <c r="L69">
        <v>144</v>
      </c>
      <c r="M69">
        <v>86989.24</v>
      </c>
      <c r="N69">
        <v>102541.89</v>
      </c>
      <c r="O69">
        <v>99</v>
      </c>
      <c r="P69">
        <v>2780.5</v>
      </c>
      <c r="Q69">
        <v>105</v>
      </c>
      <c r="R69">
        <v>0</v>
      </c>
      <c r="S69">
        <v>121</v>
      </c>
      <c r="T69">
        <v>13</v>
      </c>
    </row>
    <row r="70" spans="1:20" x14ac:dyDescent="0.3">
      <c r="A70" t="s">
        <v>95</v>
      </c>
      <c r="B70" t="s">
        <v>24</v>
      </c>
      <c r="C70">
        <v>702</v>
      </c>
      <c r="D70">
        <v>2312696.59</v>
      </c>
      <c r="E70">
        <v>2035345.12</v>
      </c>
      <c r="F70">
        <v>218</v>
      </c>
      <c r="G70">
        <v>681</v>
      </c>
      <c r="H70">
        <v>-463</v>
      </c>
      <c r="I70">
        <v>1497520.35</v>
      </c>
      <c r="J70">
        <v>1677862.23</v>
      </c>
      <c r="K70">
        <v>-180341.88</v>
      </c>
      <c r="L70">
        <v>239</v>
      </c>
      <c r="M70">
        <v>1680839.22</v>
      </c>
      <c r="N70">
        <v>1855003.24</v>
      </c>
      <c r="O70">
        <v>0</v>
      </c>
      <c r="P70">
        <v>0</v>
      </c>
      <c r="Q70">
        <v>0</v>
      </c>
      <c r="R70">
        <v>0</v>
      </c>
      <c r="S70">
        <v>45</v>
      </c>
      <c r="T70">
        <v>20</v>
      </c>
    </row>
    <row r="71" spans="1:20" x14ac:dyDescent="0.3">
      <c r="A71" t="s">
        <v>96</v>
      </c>
      <c r="B71" t="s">
        <v>21</v>
      </c>
      <c r="C71">
        <v>2</v>
      </c>
      <c r="D71">
        <v>0</v>
      </c>
      <c r="E71">
        <v>0</v>
      </c>
      <c r="F71">
        <v>0</v>
      </c>
      <c r="G71">
        <v>2</v>
      </c>
      <c r="H71">
        <v>-2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 t="s">
        <v>97</v>
      </c>
      <c r="B72" t="s">
        <v>24</v>
      </c>
      <c r="C72">
        <v>723</v>
      </c>
      <c r="D72">
        <v>2390069.19</v>
      </c>
      <c r="E72">
        <v>2198108.2999999998</v>
      </c>
      <c r="F72">
        <v>216</v>
      </c>
      <c r="G72">
        <v>661</v>
      </c>
      <c r="H72">
        <v>-445</v>
      </c>
      <c r="I72">
        <v>1059648.75</v>
      </c>
      <c r="J72">
        <v>1718372.68</v>
      </c>
      <c r="K72">
        <v>-658723.93000000005</v>
      </c>
      <c r="L72">
        <v>278</v>
      </c>
      <c r="M72">
        <v>1065284.1000000001</v>
      </c>
      <c r="N72">
        <v>1539384.37</v>
      </c>
      <c r="O72">
        <v>1</v>
      </c>
      <c r="P72">
        <v>0</v>
      </c>
      <c r="Q72">
        <v>0</v>
      </c>
      <c r="R72">
        <v>0</v>
      </c>
      <c r="S72">
        <v>45</v>
      </c>
      <c r="T72">
        <v>29</v>
      </c>
    </row>
    <row r="74" spans="1:20" x14ac:dyDescent="0.3">
      <c r="C74">
        <f>SUM(C2:C73)</f>
        <v>27321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Rep_Level_Impacts_2025_Summary_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 Schneider</cp:lastModifiedBy>
  <dcterms:created xsi:type="dcterms:W3CDTF">2025-12-21T21:37:33Z</dcterms:created>
  <dcterms:modified xsi:type="dcterms:W3CDTF">2025-12-21T21:37:33Z</dcterms:modified>
</cp:coreProperties>
</file>