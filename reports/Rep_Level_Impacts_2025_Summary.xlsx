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reports\"/>
    </mc:Choice>
  </mc:AlternateContent>
  <xr:revisionPtr revIDLastSave="0" documentId="13_ncr:9_{AF35B250-40A9-4944-A10F-A806E6781427}" xr6:coauthVersionLast="47" xr6:coauthVersionMax="47" xr10:uidLastSave="{00000000-0000-0000-0000-000000000000}"/>
  <bookViews>
    <workbookView xWindow="-108" yWindow="492" windowWidth="23256" windowHeight="12576" xr2:uid="{D97B55D3-7F39-4539-A23C-B78797187B7D}"/>
  </bookViews>
  <sheets>
    <sheet name="Rep_Level_Impacts_2025_Summ (3)" sheetId="3" r:id="rId1"/>
    <sheet name="Rep_Level_Impacts_2025_Summary" sheetId="1" r:id="rId2"/>
  </sheets>
  <definedNames>
    <definedName name="_xlnm._FilterDatabase" localSheetId="0" hidden="1">'Rep_Level_Impacts_2025_Summ (3)'!$A$2:$Q$65</definedName>
  </definedNames>
  <calcPr calcId="0"/>
</workbook>
</file>

<file path=xl/calcChain.xml><?xml version="1.0" encoding="utf-8"?>
<calcChain xmlns="http://schemas.openxmlformats.org/spreadsheetml/2006/main">
  <c r="E67" i="3" l="1"/>
  <c r="F67" i="3"/>
  <c r="G67" i="3"/>
  <c r="H67" i="3"/>
  <c r="H70" i="3" s="1"/>
  <c r="I67" i="3"/>
  <c r="I70" i="3" s="1"/>
  <c r="J67" i="3"/>
  <c r="K67" i="3"/>
  <c r="L67" i="3"/>
  <c r="M67" i="3"/>
  <c r="N67" i="3"/>
  <c r="O67" i="3"/>
  <c r="P67" i="3"/>
  <c r="P70" i="3" s="1"/>
  <c r="Q67" i="3"/>
  <c r="D67" i="3"/>
  <c r="C67" i="3"/>
  <c r="D1" i="3"/>
  <c r="C1" i="3"/>
</calcChain>
</file>

<file path=xl/sharedStrings.xml><?xml version="1.0" encoding="utf-8"?>
<sst xmlns="http://schemas.openxmlformats.org/spreadsheetml/2006/main" count="303" uniqueCount="100">
  <si>
    <t>Assigned_Rep_Name</t>
  </si>
  <si>
    <t>Rep_Type</t>
  </si>
  <si>
    <t>2024 Revenue</t>
  </si>
  <si>
    <t>2025 Revenue</t>
  </si>
  <si>
    <t>2025 Count of Accounts</t>
  </si>
  <si>
    <t>Account Changes due to Alignment</t>
  </si>
  <si>
    <t>Count of Accounts after Alignment</t>
  </si>
  <si>
    <t>2025 Revenue (after Re-Assignment)</t>
  </si>
  <si>
    <t>Revenue Change (after Re-Assignment)</t>
  </si>
  <si>
    <t>The Floor (All Group 3 Accounts)</t>
  </si>
  <si>
    <t>The Floor (Design Only, Non New Accounts)</t>
  </si>
  <si>
    <t>2025 Revenue for The Floor (Design Only, Non New)</t>
  </si>
  <si>
    <t>2025 Final Count of Accounts (Floor Removed)</t>
  </si>
  <si>
    <t>2025 Final Revenue All Accounts (Floor Removed)</t>
  </si>
  <si>
    <t>Overall Count of Account Difference</t>
  </si>
  <si>
    <t>Revenue Diff Between Start and Final 2025</t>
  </si>
  <si>
    <t>Count of 2025 Zero Rev New Accounts (Re-Assigned)</t>
  </si>
  <si>
    <t>Aaron Kirsch</t>
  </si>
  <si>
    <t>Independent rep</t>
  </si>
  <si>
    <t>Adam Paurowski</t>
  </si>
  <si>
    <t>Amanda Kistela</t>
  </si>
  <si>
    <t>Inside Sales</t>
  </si>
  <si>
    <t>Amelia Wall</t>
  </si>
  <si>
    <t>Angela Esposito</t>
  </si>
  <si>
    <t>Others</t>
  </si>
  <si>
    <t>Angie Robison</t>
  </si>
  <si>
    <t>Account Managers</t>
  </si>
  <si>
    <t>Anna Hudspeth</t>
  </si>
  <si>
    <t>160792.19999999972</t>
  </si>
  <si>
    <t>Archana Chaudhary</t>
  </si>
  <si>
    <t>240890.58000000002</t>
  </si>
  <si>
    <t>Betsy Goslin</t>
  </si>
  <si>
    <t>Cameron Allison</t>
  </si>
  <si>
    <t>Carrie Odendahl</t>
  </si>
  <si>
    <t>Chad Forti</t>
  </si>
  <si>
    <t>477695.22000000003</t>
  </si>
  <si>
    <t>476470.41000000003</t>
  </si>
  <si>
    <t>Chapel Conley</t>
  </si>
  <si>
    <t>Cindy Wight</t>
  </si>
  <si>
    <t>Cynthia Guthrie</t>
  </si>
  <si>
    <t>David Glassman</t>
  </si>
  <si>
    <t>Eddie Goldberger</t>
  </si>
  <si>
    <t>Emily Cardassi</t>
  </si>
  <si>
    <t>Enricus Coone</t>
  </si>
  <si>
    <t>Erin Kennedy</t>
  </si>
  <si>
    <t>Glen Giordano</t>
  </si>
  <si>
    <t>Hana Nassri</t>
  </si>
  <si>
    <t>240033.55000000005</t>
  </si>
  <si>
    <t>27650.02000000002</t>
  </si>
  <si>
    <t>Indy Carroll</t>
  </si>
  <si>
    <t>Jaipur Web Team</t>
  </si>
  <si>
    <t>166600.22999999998</t>
  </si>
  <si>
    <t>Jesse and Larry Gerber</t>
  </si>
  <si>
    <t>1358835.1199999999</t>
  </si>
  <si>
    <t>Karen Autore</t>
  </si>
  <si>
    <t>Kent Schneider</t>
  </si>
  <si>
    <t>Kimberly Myers</t>
  </si>
  <si>
    <t>42408.02000000002</t>
  </si>
  <si>
    <t>Kyra Williamson</t>
  </si>
  <si>
    <t>780038.0999999996</t>
  </si>
  <si>
    <t>LA Open</t>
  </si>
  <si>
    <t>Laura Hays</t>
  </si>
  <si>
    <t>Lauren Smith</t>
  </si>
  <si>
    <t>Lisa Lowder</t>
  </si>
  <si>
    <t>3089300.7600000002</t>
  </si>
  <si>
    <t>Logan Karr</t>
  </si>
  <si>
    <t>Lorne Gardner</t>
  </si>
  <si>
    <t>MD Rickers</t>
  </si>
  <si>
    <t>Madison Wolpe</t>
  </si>
  <si>
    <t>394755.4199999999</t>
  </si>
  <si>
    <t>Maggie McCoy</t>
  </si>
  <si>
    <t>Marcie Gelfand</t>
  </si>
  <si>
    <t>Maria Huguet</t>
  </si>
  <si>
    <t>Mariel Dela Torre</t>
  </si>
  <si>
    <t>Marti Hovater</t>
  </si>
  <si>
    <t>Melissa Coady</t>
  </si>
  <si>
    <t>Nitesh Chaudhary</t>
  </si>
  <si>
    <t>Paul Baird</t>
  </si>
  <si>
    <t>982972.6000000001</t>
  </si>
  <si>
    <t>Peter Tischner</t>
  </si>
  <si>
    <t>Randall Schneck</t>
  </si>
  <si>
    <t>Rico Berrios</t>
  </si>
  <si>
    <t>Ron Kessler</t>
  </si>
  <si>
    <t>Sheetal Patel</t>
  </si>
  <si>
    <t>Shelly Meshwork</t>
  </si>
  <si>
    <t>UNKNOWN</t>
  </si>
  <si>
    <t>Shelly Meshwork (CA)</t>
  </si>
  <si>
    <t>Steve Goldfeder</t>
  </si>
  <si>
    <t>Susan Gray</t>
  </si>
  <si>
    <t>Susan Whitworth</t>
  </si>
  <si>
    <t>Ted Fall</t>
  </si>
  <si>
    <t>Teresa Roberts</t>
  </si>
  <si>
    <t>Test SalesRep</t>
  </si>
  <si>
    <t>Tommy Suarez</t>
  </si>
  <si>
    <t>Tony Minutelli</t>
  </si>
  <si>
    <t>Vandana Kaku</t>
  </si>
  <si>
    <t>Vecca Laurente</t>
  </si>
  <si>
    <t>Wesley Hood</t>
  </si>
  <si>
    <t>UKNOWN OTHER</t>
  </si>
  <si>
    <t>Reconcile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</si>
</sst>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8" fillId="0" borderId="0" xfId="0" quotePrefix="1" applyFont="1"/>
    <xf numFmtId="0" fontId="19" fillId="0" borderId="0" xfId="0" applyFont="1"/>
    <xf numFmtId="44" fontId="18" fillId="0" borderId="0" xfId="2" applyFont="1"/>
    <xf numFmtId="44" fontId="18" fillId="33" borderId="0" xfId="2" applyFont="1" applyFill="1"/>
    <xf numFmtId="44" fontId="19" fillId="0" borderId="0" xfId="2" applyFont="1"/>
    <xf numFmtId="44" fontId="18" fillId="0" borderId="0" xfId="2" applyFon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7" fontId="18" fillId="0" borderId="0" xfId="1" applyNumberFormat="1" applyFont="1" applyAlignment="1">
      <alignment horizontal="center"/>
    </xf>
    <xf numFmtId="166" fontId="18" fillId="0" borderId="0" xfId="2" applyNumberFormat="1" applyFont="1"/>
    <xf numFmtId="166" fontId="18" fillId="0" borderId="0" xfId="2" applyNumberFormat="1" applyFont="1" applyAlignment="1">
      <alignment horizontal="center"/>
    </xf>
    <xf numFmtId="166" fontId="18" fillId="0" borderId="0" xfId="2" quotePrefix="1" applyNumberFormat="1" applyFont="1" applyAlignment="1">
      <alignment horizontal="center"/>
    </xf>
    <xf numFmtId="166" fontId="19" fillId="0" borderId="0" xfId="2" applyNumberFormat="1" applyFont="1" applyAlignment="1">
      <alignment horizontal="center"/>
    </xf>
    <xf numFmtId="166" fontId="18" fillId="0" borderId="0" xfId="0" applyNumberFormat="1" applyFont="1"/>
    <xf numFmtId="166" fontId="18" fillId="0" borderId="0" xfId="0" applyNumberFormat="1" applyFont="1" applyAlignment="1">
      <alignment horizontal="center"/>
    </xf>
    <xf numFmtId="166" fontId="18" fillId="0" borderId="0" xfId="0" quotePrefix="1" applyNumberFormat="1" applyFont="1" applyAlignment="1">
      <alignment horizontal="center"/>
    </xf>
    <xf numFmtId="166" fontId="18" fillId="0" borderId="0" xfId="0" applyNumberFormat="1" applyFont="1" applyFill="1" applyAlignment="1">
      <alignment horizontal="center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166" fontId="18" fillId="33" borderId="0" xfId="2" applyNumberFormat="1" applyFont="1" applyFill="1" applyAlignment="1">
      <alignment horizontal="center"/>
    </xf>
    <xf numFmtId="166" fontId="18" fillId="33" borderId="0" xfId="0" quotePrefix="1" applyNumberFormat="1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center"/>
    </xf>
    <xf numFmtId="166" fontId="18" fillId="0" borderId="0" xfId="2" applyNumberFormat="1" applyFont="1" applyFill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3682-09CA-4270-9B91-4E42A3C6ED97}">
  <dimension ref="A1:Q70"/>
  <sheetViews>
    <sheetView tabSelected="1" workbookViewId="0">
      <selection activeCell="Q2" sqref="Q2"/>
    </sheetView>
  </sheetViews>
  <sheetFormatPr defaultRowHeight="13.8" x14ac:dyDescent="0.3"/>
  <cols>
    <col min="1" max="1" width="15.109375" style="1" customWidth="1"/>
    <col min="2" max="2" width="16.5546875" style="1" customWidth="1"/>
    <col min="3" max="4" width="14.6640625" style="1" bestFit="1" customWidth="1"/>
    <col min="5" max="5" width="14.33203125" style="8" customWidth="1"/>
    <col min="6" max="6" width="9.109375" style="8" bestFit="1" customWidth="1"/>
    <col min="7" max="7" width="10.109375" style="8" bestFit="1" customWidth="1"/>
    <col min="8" max="8" width="29" style="1" customWidth="1"/>
    <col min="9" max="9" width="14.21875" style="1" bestFit="1" customWidth="1"/>
    <col min="10" max="10" width="16" style="8" customWidth="1"/>
    <col min="11" max="11" width="26.33203125" style="8" customWidth="1"/>
    <col min="12" max="12" width="14.44140625" style="1" customWidth="1"/>
    <col min="13" max="13" width="10" style="1" bestFit="1" customWidth="1"/>
    <col min="14" max="14" width="14.5546875" style="1" bestFit="1" customWidth="1"/>
    <col min="15" max="15" width="10.5546875" style="1" bestFit="1" customWidth="1"/>
    <col min="16" max="16" width="14.109375" style="1" bestFit="1" customWidth="1"/>
    <col min="17" max="17" width="13.44140625" style="1" customWidth="1"/>
    <col min="18" max="16384" width="8.88671875" style="1"/>
  </cols>
  <sheetData>
    <row r="1" spans="1:17" x14ac:dyDescent="0.3">
      <c r="C1" s="4">
        <f>SUM(C3:C65)</f>
        <v>90979065.450000003</v>
      </c>
      <c r="D1" s="4">
        <f>SUM(D3:D65)</f>
        <v>84760387.570000008</v>
      </c>
    </row>
    <row r="2" spans="1:17" x14ac:dyDescent="0.3">
      <c r="A2" s="3" t="s">
        <v>0</v>
      </c>
      <c r="B2" s="3" t="s">
        <v>1</v>
      </c>
      <c r="C2" s="3" t="s">
        <v>2</v>
      </c>
      <c r="D2" s="3" t="s">
        <v>3</v>
      </c>
      <c r="E2" s="9" t="s">
        <v>4</v>
      </c>
      <c r="F2" s="9" t="s">
        <v>5</v>
      </c>
      <c r="G2" s="9" t="s">
        <v>6</v>
      </c>
      <c r="H2" s="3" t="s">
        <v>7</v>
      </c>
      <c r="I2" s="3" t="s">
        <v>8</v>
      </c>
      <c r="J2" s="9" t="s">
        <v>9</v>
      </c>
      <c r="K2" s="9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3">
      <c r="A3" s="1" t="s">
        <v>17</v>
      </c>
      <c r="B3" s="1" t="s">
        <v>18</v>
      </c>
      <c r="C3" s="4">
        <v>795662.5</v>
      </c>
      <c r="D3" s="4">
        <v>512684.85</v>
      </c>
      <c r="E3" s="8">
        <v>115</v>
      </c>
      <c r="F3" s="8">
        <v>0</v>
      </c>
      <c r="G3" s="8">
        <v>115</v>
      </c>
      <c r="H3" s="12">
        <v>512684.85</v>
      </c>
      <c r="I3" s="12">
        <v>0</v>
      </c>
      <c r="J3" s="8">
        <v>85</v>
      </c>
      <c r="K3" s="8">
        <v>40</v>
      </c>
      <c r="L3" s="12">
        <v>7454.4</v>
      </c>
      <c r="M3" s="8">
        <v>75</v>
      </c>
      <c r="N3" s="16">
        <v>505230.45</v>
      </c>
      <c r="O3" s="8">
        <v>-40</v>
      </c>
      <c r="P3" s="12">
        <v>-7454.4</v>
      </c>
      <c r="Q3" s="1">
        <v>0</v>
      </c>
    </row>
    <row r="4" spans="1:17" x14ac:dyDescent="0.3">
      <c r="A4" s="1" t="s">
        <v>19</v>
      </c>
      <c r="B4" s="1" t="s">
        <v>18</v>
      </c>
      <c r="C4" s="4">
        <v>23659</v>
      </c>
      <c r="D4" s="4">
        <v>121755.02</v>
      </c>
      <c r="E4" s="8">
        <v>3</v>
      </c>
      <c r="F4" s="8">
        <v>0</v>
      </c>
      <c r="G4" s="8">
        <v>3</v>
      </c>
      <c r="H4" s="12">
        <v>121755.02</v>
      </c>
      <c r="I4" s="12">
        <v>0</v>
      </c>
      <c r="J4" s="8">
        <v>2</v>
      </c>
      <c r="K4" s="8">
        <v>0</v>
      </c>
      <c r="L4" s="12">
        <v>0</v>
      </c>
      <c r="M4" s="8">
        <v>3</v>
      </c>
      <c r="N4" s="16">
        <v>121755.02</v>
      </c>
      <c r="O4" s="8">
        <v>0</v>
      </c>
      <c r="P4" s="12">
        <v>0</v>
      </c>
      <c r="Q4" s="1">
        <v>1</v>
      </c>
    </row>
    <row r="5" spans="1:17" x14ac:dyDescent="0.3">
      <c r="A5" s="1" t="s">
        <v>20</v>
      </c>
      <c r="B5" s="1" t="s">
        <v>21</v>
      </c>
      <c r="C5" s="4">
        <v>843001.29</v>
      </c>
      <c r="D5" s="4">
        <v>757542.45</v>
      </c>
      <c r="E5" s="8">
        <v>30</v>
      </c>
      <c r="F5" s="8">
        <v>-30</v>
      </c>
      <c r="G5" s="8">
        <v>0</v>
      </c>
      <c r="H5" s="12">
        <v>0</v>
      </c>
      <c r="I5" s="12">
        <v>-757542.45</v>
      </c>
      <c r="J5" s="8">
        <v>0</v>
      </c>
      <c r="K5" s="8">
        <v>0</v>
      </c>
      <c r="L5" s="12">
        <v>0</v>
      </c>
      <c r="M5" s="8">
        <v>0</v>
      </c>
      <c r="N5" s="16">
        <v>0</v>
      </c>
      <c r="O5" s="8">
        <v>-30</v>
      </c>
      <c r="P5" s="12">
        <v>-757542.45</v>
      </c>
      <c r="Q5" s="1">
        <v>0</v>
      </c>
    </row>
    <row r="6" spans="1:17" x14ac:dyDescent="0.3">
      <c r="A6" s="1" t="s">
        <v>22</v>
      </c>
      <c r="B6" s="1" t="s">
        <v>18</v>
      </c>
      <c r="C6" s="4">
        <v>505662.63</v>
      </c>
      <c r="D6" s="4">
        <v>267631.84999999998</v>
      </c>
      <c r="E6" s="8">
        <v>1</v>
      </c>
      <c r="F6" s="8">
        <v>0</v>
      </c>
      <c r="G6" s="8">
        <v>1</v>
      </c>
      <c r="H6" s="12">
        <v>267631.84999999998</v>
      </c>
      <c r="I6" s="12">
        <v>0</v>
      </c>
      <c r="J6" s="8">
        <v>0</v>
      </c>
      <c r="K6" s="8">
        <v>0</v>
      </c>
      <c r="L6" s="12">
        <v>0</v>
      </c>
      <c r="M6" s="8">
        <v>1</v>
      </c>
      <c r="N6" s="16">
        <v>267631.84999999998</v>
      </c>
      <c r="O6" s="8">
        <v>0</v>
      </c>
      <c r="P6" s="12">
        <v>0</v>
      </c>
      <c r="Q6" s="1">
        <v>0</v>
      </c>
    </row>
    <row r="7" spans="1:17" x14ac:dyDescent="0.3">
      <c r="A7" s="1" t="s">
        <v>23</v>
      </c>
      <c r="B7" s="1" t="s">
        <v>24</v>
      </c>
      <c r="C7" s="4">
        <v>541609.43000000005</v>
      </c>
      <c r="D7" s="4">
        <v>660637.25</v>
      </c>
      <c r="E7" s="8">
        <v>291</v>
      </c>
      <c r="F7" s="8">
        <v>0</v>
      </c>
      <c r="G7" s="8">
        <v>291</v>
      </c>
      <c r="H7" s="12">
        <v>660637.25</v>
      </c>
      <c r="I7" s="12">
        <v>0</v>
      </c>
      <c r="J7" s="8">
        <v>229</v>
      </c>
      <c r="K7" s="8">
        <v>165</v>
      </c>
      <c r="L7" s="12">
        <v>26796.9</v>
      </c>
      <c r="M7" s="8">
        <v>126</v>
      </c>
      <c r="N7" s="16">
        <v>633840.35</v>
      </c>
      <c r="O7" s="8">
        <v>-165</v>
      </c>
      <c r="P7" s="12">
        <v>-26796.9</v>
      </c>
      <c r="Q7" s="1">
        <v>38</v>
      </c>
    </row>
    <row r="8" spans="1:17" x14ac:dyDescent="0.3">
      <c r="A8" s="1" t="s">
        <v>25</v>
      </c>
      <c r="B8" s="1" t="s">
        <v>26</v>
      </c>
      <c r="C8" s="4">
        <v>4425393.3</v>
      </c>
      <c r="D8" s="4">
        <v>4079564.13</v>
      </c>
      <c r="E8" s="8">
        <v>255</v>
      </c>
      <c r="F8" s="8">
        <v>0</v>
      </c>
      <c r="G8" s="8">
        <v>255</v>
      </c>
      <c r="H8" s="12">
        <v>4079564.13</v>
      </c>
      <c r="I8" s="12">
        <v>0</v>
      </c>
      <c r="J8" s="8">
        <v>78</v>
      </c>
      <c r="K8" s="8">
        <v>22</v>
      </c>
      <c r="L8" s="12">
        <v>15119.9</v>
      </c>
      <c r="M8" s="8">
        <v>233</v>
      </c>
      <c r="N8" s="16">
        <v>4064444.23</v>
      </c>
      <c r="O8" s="8">
        <v>-22</v>
      </c>
      <c r="P8" s="12">
        <v>-15119.9</v>
      </c>
      <c r="Q8" s="1">
        <v>2</v>
      </c>
    </row>
    <row r="9" spans="1:17" x14ac:dyDescent="0.3">
      <c r="A9" s="1" t="s">
        <v>27</v>
      </c>
      <c r="B9" s="1" t="s">
        <v>21</v>
      </c>
      <c r="C9" s="4">
        <v>2360441.7999999998</v>
      </c>
      <c r="D9" s="4">
        <v>2295015.7200000002</v>
      </c>
      <c r="E9" s="8">
        <v>828</v>
      </c>
      <c r="F9" s="8">
        <v>151</v>
      </c>
      <c r="G9" s="8">
        <v>979</v>
      </c>
      <c r="H9" s="12">
        <v>2455807.92</v>
      </c>
      <c r="I9" s="13">
        <v>160792.19999999899</v>
      </c>
      <c r="J9" s="8">
        <v>745</v>
      </c>
      <c r="K9" s="8">
        <v>588</v>
      </c>
      <c r="L9" s="12">
        <v>195895.45</v>
      </c>
      <c r="M9" s="8">
        <v>391</v>
      </c>
      <c r="N9" s="16">
        <v>2259912.4700000002</v>
      </c>
      <c r="O9" s="8">
        <v>-437</v>
      </c>
      <c r="P9" s="12">
        <v>-35103.25</v>
      </c>
      <c r="Q9" s="1">
        <v>29</v>
      </c>
    </row>
    <row r="10" spans="1:17" x14ac:dyDescent="0.3">
      <c r="A10" s="1" t="s">
        <v>29</v>
      </c>
      <c r="B10" s="1" t="s">
        <v>18</v>
      </c>
      <c r="C10" s="4">
        <v>1391005.9</v>
      </c>
      <c r="D10" s="4">
        <v>240890.58</v>
      </c>
      <c r="E10" s="8">
        <v>9</v>
      </c>
      <c r="F10" s="8">
        <v>0</v>
      </c>
      <c r="G10" s="8">
        <v>9</v>
      </c>
      <c r="H10" s="13">
        <v>240890.58</v>
      </c>
      <c r="I10" s="12">
        <v>0</v>
      </c>
      <c r="J10" s="8">
        <v>7</v>
      </c>
      <c r="K10" s="8">
        <v>1</v>
      </c>
      <c r="L10" s="12">
        <v>0</v>
      </c>
      <c r="M10" s="8">
        <v>8</v>
      </c>
      <c r="N10" s="17">
        <v>240890.58</v>
      </c>
      <c r="O10" s="8">
        <v>-1</v>
      </c>
      <c r="P10" s="12">
        <v>0</v>
      </c>
      <c r="Q10" s="1">
        <v>0</v>
      </c>
    </row>
    <row r="11" spans="1:17" x14ac:dyDescent="0.3">
      <c r="A11" s="1" t="s">
        <v>31</v>
      </c>
      <c r="B11" s="1" t="s">
        <v>26</v>
      </c>
      <c r="C11" s="4">
        <v>2652431.2799999998</v>
      </c>
      <c r="D11" s="4">
        <v>2540597.42</v>
      </c>
      <c r="E11" s="8">
        <v>152</v>
      </c>
      <c r="F11" s="8">
        <v>0</v>
      </c>
      <c r="G11" s="8">
        <v>152</v>
      </c>
      <c r="H11" s="12">
        <v>2540597.42</v>
      </c>
      <c r="I11" s="12">
        <v>0</v>
      </c>
      <c r="J11" s="8">
        <v>29</v>
      </c>
      <c r="K11" s="8">
        <v>12</v>
      </c>
      <c r="L11" s="12">
        <v>13136</v>
      </c>
      <c r="M11" s="8">
        <v>140</v>
      </c>
      <c r="N11" s="16">
        <v>2527461.42</v>
      </c>
      <c r="O11" s="8">
        <v>-12</v>
      </c>
      <c r="P11" s="12">
        <v>-13136</v>
      </c>
      <c r="Q11" s="1">
        <v>0</v>
      </c>
    </row>
    <row r="12" spans="1:17" x14ac:dyDescent="0.3">
      <c r="A12" s="1" t="s">
        <v>32</v>
      </c>
      <c r="B12" s="1" t="s">
        <v>18</v>
      </c>
      <c r="C12" s="4">
        <v>11120642.92</v>
      </c>
      <c r="D12" s="4">
        <v>8828535.4100000001</v>
      </c>
      <c r="E12" s="8">
        <v>24</v>
      </c>
      <c r="F12" s="8">
        <v>0</v>
      </c>
      <c r="G12" s="8">
        <v>24</v>
      </c>
      <c r="H12" s="12">
        <v>8828535.4100000001</v>
      </c>
      <c r="I12" s="12">
        <v>0</v>
      </c>
      <c r="J12" s="8">
        <v>4</v>
      </c>
      <c r="K12" s="8">
        <v>0</v>
      </c>
      <c r="L12" s="12">
        <v>0</v>
      </c>
      <c r="M12" s="8">
        <v>24</v>
      </c>
      <c r="N12" s="16">
        <v>8828535.4100000001</v>
      </c>
      <c r="O12" s="8">
        <v>0</v>
      </c>
      <c r="P12" s="12">
        <v>0</v>
      </c>
      <c r="Q12" s="1">
        <v>0</v>
      </c>
    </row>
    <row r="13" spans="1:17" x14ac:dyDescent="0.3">
      <c r="A13" s="1" t="s">
        <v>33</v>
      </c>
      <c r="B13" s="1" t="s">
        <v>21</v>
      </c>
      <c r="C13" s="4">
        <v>2961007.03</v>
      </c>
      <c r="D13" s="4">
        <v>2549735.2400000002</v>
      </c>
      <c r="E13" s="8">
        <v>892</v>
      </c>
      <c r="F13" s="8">
        <v>-58</v>
      </c>
      <c r="G13" s="8">
        <v>834</v>
      </c>
      <c r="H13" s="12">
        <v>2151355.25</v>
      </c>
      <c r="I13" s="12">
        <v>-398379.99</v>
      </c>
      <c r="J13" s="8">
        <v>603</v>
      </c>
      <c r="K13" s="8">
        <v>482</v>
      </c>
      <c r="L13" s="12">
        <v>126048.46</v>
      </c>
      <c r="M13" s="8">
        <v>352</v>
      </c>
      <c r="N13" s="16">
        <v>2025306.79</v>
      </c>
      <c r="O13" s="8">
        <v>-540</v>
      </c>
      <c r="P13" s="12">
        <v>-524428.44999999995</v>
      </c>
      <c r="Q13" s="1">
        <v>35</v>
      </c>
    </row>
    <row r="14" spans="1:17" x14ac:dyDescent="0.3">
      <c r="A14" s="1" t="s">
        <v>34</v>
      </c>
      <c r="B14" s="1" t="s">
        <v>18</v>
      </c>
      <c r="C14" s="4">
        <v>432386.7</v>
      </c>
      <c r="D14" s="4">
        <v>477695.22</v>
      </c>
      <c r="E14" s="8">
        <v>74</v>
      </c>
      <c r="F14" s="8">
        <v>0</v>
      </c>
      <c r="G14" s="8">
        <v>74</v>
      </c>
      <c r="H14" s="13">
        <v>477695.22</v>
      </c>
      <c r="I14" s="12">
        <v>0</v>
      </c>
      <c r="J14" s="8">
        <v>46</v>
      </c>
      <c r="K14" s="8">
        <v>10</v>
      </c>
      <c r="L14" s="12">
        <v>1224.81</v>
      </c>
      <c r="M14" s="8">
        <v>64</v>
      </c>
      <c r="N14" s="17">
        <v>476470.41</v>
      </c>
      <c r="O14" s="8">
        <v>-10</v>
      </c>
      <c r="P14" s="12">
        <v>-1224.81</v>
      </c>
      <c r="Q14" s="1">
        <v>3</v>
      </c>
    </row>
    <row r="15" spans="1:17" x14ac:dyDescent="0.3">
      <c r="A15" s="1" t="s">
        <v>37</v>
      </c>
      <c r="B15" s="1" t="s">
        <v>26</v>
      </c>
      <c r="C15" s="4">
        <v>1421694.73</v>
      </c>
      <c r="D15" s="4">
        <v>1617986.54</v>
      </c>
      <c r="E15" s="8">
        <v>174</v>
      </c>
      <c r="F15" s="8">
        <v>0</v>
      </c>
      <c r="G15" s="8">
        <v>174</v>
      </c>
      <c r="H15" s="12">
        <v>1617986.54</v>
      </c>
      <c r="I15" s="12">
        <v>0</v>
      </c>
      <c r="J15" s="8">
        <v>74</v>
      </c>
      <c r="K15" s="8">
        <v>53</v>
      </c>
      <c r="L15" s="12">
        <v>28271.98</v>
      </c>
      <c r="M15" s="8">
        <v>121</v>
      </c>
      <c r="N15" s="16">
        <v>1589714.56</v>
      </c>
      <c r="O15" s="8">
        <v>-53</v>
      </c>
      <c r="P15" s="12">
        <v>-28271.98</v>
      </c>
      <c r="Q15" s="1">
        <v>3</v>
      </c>
    </row>
    <row r="16" spans="1:17" x14ac:dyDescent="0.3">
      <c r="A16" s="1" t="s">
        <v>38</v>
      </c>
      <c r="B16" s="1" t="s">
        <v>26</v>
      </c>
      <c r="C16" s="4">
        <v>2007370.07</v>
      </c>
      <c r="D16" s="4">
        <v>2140844.62</v>
      </c>
      <c r="E16" s="8">
        <v>168</v>
      </c>
      <c r="F16" s="8">
        <v>0</v>
      </c>
      <c r="G16" s="8">
        <v>168</v>
      </c>
      <c r="H16" s="12">
        <v>2140844.62</v>
      </c>
      <c r="I16" s="12">
        <v>0</v>
      </c>
      <c r="J16" s="8">
        <v>42</v>
      </c>
      <c r="K16" s="8">
        <v>26</v>
      </c>
      <c r="L16" s="12">
        <v>22175.34</v>
      </c>
      <c r="M16" s="8">
        <v>142</v>
      </c>
      <c r="N16" s="16">
        <v>2118669.2799999998</v>
      </c>
      <c r="O16" s="8">
        <v>-26</v>
      </c>
      <c r="P16" s="12">
        <v>-22175.34</v>
      </c>
      <c r="Q16" s="1">
        <v>4</v>
      </c>
    </row>
    <row r="17" spans="1:17" x14ac:dyDescent="0.3">
      <c r="A17" s="1" t="s">
        <v>39</v>
      </c>
      <c r="B17" s="1" t="s">
        <v>18</v>
      </c>
      <c r="C17" s="4">
        <v>228969.92</v>
      </c>
      <c r="D17" s="4">
        <v>166075.99</v>
      </c>
      <c r="E17" s="8">
        <v>72</v>
      </c>
      <c r="F17" s="8">
        <v>0</v>
      </c>
      <c r="G17" s="8">
        <v>72</v>
      </c>
      <c r="H17" s="12">
        <v>166075.99</v>
      </c>
      <c r="I17" s="12">
        <v>0</v>
      </c>
      <c r="J17" s="8">
        <v>53</v>
      </c>
      <c r="K17" s="8">
        <v>36</v>
      </c>
      <c r="L17" s="12">
        <v>6522.05</v>
      </c>
      <c r="M17" s="8">
        <v>36</v>
      </c>
      <c r="N17" s="16">
        <v>159553.94</v>
      </c>
      <c r="O17" s="8">
        <v>-36</v>
      </c>
      <c r="P17" s="12">
        <v>-6522.05</v>
      </c>
      <c r="Q17" s="1">
        <v>8</v>
      </c>
    </row>
    <row r="18" spans="1:17" x14ac:dyDescent="0.3">
      <c r="A18" s="1" t="s">
        <v>40</v>
      </c>
      <c r="B18" s="1" t="s">
        <v>18</v>
      </c>
      <c r="C18" s="4">
        <v>4457476.6500000004</v>
      </c>
      <c r="D18" s="4">
        <v>4275853.54</v>
      </c>
      <c r="E18" s="8">
        <v>817</v>
      </c>
      <c r="F18" s="8">
        <v>0</v>
      </c>
      <c r="G18" s="8">
        <v>817</v>
      </c>
      <c r="H18" s="12">
        <v>4275853.54</v>
      </c>
      <c r="I18" s="12">
        <v>0</v>
      </c>
      <c r="J18" s="8">
        <v>530</v>
      </c>
      <c r="K18" s="8">
        <v>413</v>
      </c>
      <c r="L18" s="12">
        <v>149806.14000000001</v>
      </c>
      <c r="M18" s="8">
        <v>404</v>
      </c>
      <c r="N18" s="16">
        <v>4126047.4</v>
      </c>
      <c r="O18" s="8">
        <v>-413</v>
      </c>
      <c r="P18" s="12">
        <v>-149806.14000000001</v>
      </c>
      <c r="Q18" s="1">
        <v>9</v>
      </c>
    </row>
    <row r="19" spans="1:17" x14ac:dyDescent="0.3">
      <c r="A19" s="1" t="s">
        <v>41</v>
      </c>
      <c r="B19" s="1" t="s">
        <v>18</v>
      </c>
      <c r="C19" s="4">
        <v>0</v>
      </c>
      <c r="D19" s="4">
        <v>0</v>
      </c>
      <c r="E19" s="8">
        <v>7</v>
      </c>
      <c r="F19" s="8">
        <v>0</v>
      </c>
      <c r="G19" s="8">
        <v>7</v>
      </c>
      <c r="H19" s="12">
        <v>0</v>
      </c>
      <c r="I19" s="12">
        <v>0</v>
      </c>
      <c r="J19" s="8">
        <v>7</v>
      </c>
      <c r="K19" s="8">
        <v>7</v>
      </c>
      <c r="L19" s="12">
        <v>0</v>
      </c>
      <c r="M19" s="8">
        <v>0</v>
      </c>
      <c r="N19" s="16">
        <v>0</v>
      </c>
      <c r="O19" s="8">
        <v>-7</v>
      </c>
      <c r="P19" s="12">
        <v>0</v>
      </c>
      <c r="Q19" s="1">
        <v>0</v>
      </c>
    </row>
    <row r="20" spans="1:17" x14ac:dyDescent="0.3">
      <c r="A20" s="1" t="s">
        <v>42</v>
      </c>
      <c r="B20" s="1" t="s">
        <v>26</v>
      </c>
      <c r="C20" s="4">
        <v>1310464.53</v>
      </c>
      <c r="D20" s="4">
        <v>1238417.29</v>
      </c>
      <c r="E20" s="8">
        <v>129</v>
      </c>
      <c r="F20" s="8">
        <v>0</v>
      </c>
      <c r="G20" s="8">
        <v>129</v>
      </c>
      <c r="H20" s="12">
        <v>1238417.29</v>
      </c>
      <c r="I20" s="12">
        <v>0</v>
      </c>
      <c r="J20" s="8">
        <v>51</v>
      </c>
      <c r="K20" s="8">
        <v>28</v>
      </c>
      <c r="L20" s="12">
        <v>11024.8</v>
      </c>
      <c r="M20" s="8">
        <v>101</v>
      </c>
      <c r="N20" s="16">
        <v>1227392.49</v>
      </c>
      <c r="O20" s="8">
        <v>-28</v>
      </c>
      <c r="P20" s="12">
        <v>-11024.8</v>
      </c>
      <c r="Q20" s="1">
        <v>4</v>
      </c>
    </row>
    <row r="21" spans="1:17" x14ac:dyDescent="0.3">
      <c r="A21" s="1" t="s">
        <v>43</v>
      </c>
      <c r="B21" s="1" t="s">
        <v>21</v>
      </c>
      <c r="C21" s="4">
        <v>69873.41</v>
      </c>
      <c r="D21" s="4">
        <v>449181.01</v>
      </c>
      <c r="E21" s="8">
        <v>1733</v>
      </c>
      <c r="F21" s="8">
        <v>0</v>
      </c>
      <c r="G21" s="8">
        <v>1733</v>
      </c>
      <c r="H21" s="12">
        <v>449181.01</v>
      </c>
      <c r="I21" s="12">
        <v>0</v>
      </c>
      <c r="J21" s="8">
        <v>1675</v>
      </c>
      <c r="K21" s="8">
        <v>1441</v>
      </c>
      <c r="L21" s="12">
        <v>74772.87</v>
      </c>
      <c r="M21" s="8">
        <v>292</v>
      </c>
      <c r="N21" s="16">
        <v>374408.14</v>
      </c>
      <c r="O21" s="8">
        <v>-1441</v>
      </c>
      <c r="P21" s="12">
        <v>-74772.87</v>
      </c>
      <c r="Q21" s="1">
        <v>31</v>
      </c>
    </row>
    <row r="22" spans="1:17" x14ac:dyDescent="0.3">
      <c r="A22" s="1" t="s">
        <v>44</v>
      </c>
      <c r="B22" s="1" t="s">
        <v>18</v>
      </c>
      <c r="C22" s="4">
        <v>233747.99</v>
      </c>
      <c r="D22" s="4">
        <v>258135.61</v>
      </c>
      <c r="E22" s="8">
        <v>61</v>
      </c>
      <c r="F22" s="8">
        <v>0</v>
      </c>
      <c r="G22" s="8">
        <v>61</v>
      </c>
      <c r="H22" s="12">
        <v>258135.61</v>
      </c>
      <c r="I22" s="12">
        <v>0</v>
      </c>
      <c r="J22" s="8">
        <v>48</v>
      </c>
      <c r="K22" s="8">
        <v>28</v>
      </c>
      <c r="L22" s="12">
        <v>4340.2</v>
      </c>
      <c r="M22" s="8">
        <v>33</v>
      </c>
      <c r="N22" s="18">
        <v>253795.41</v>
      </c>
      <c r="O22" s="8">
        <v>-28</v>
      </c>
      <c r="P22" s="12">
        <v>-4340.2</v>
      </c>
      <c r="Q22" s="1">
        <v>9</v>
      </c>
    </row>
    <row r="23" spans="1:17" x14ac:dyDescent="0.3">
      <c r="A23" s="1" t="s">
        <v>45</v>
      </c>
      <c r="B23" s="1" t="s">
        <v>18</v>
      </c>
      <c r="C23" s="4">
        <v>8506168.7899999991</v>
      </c>
      <c r="D23" s="4">
        <v>8864631.5899999999</v>
      </c>
      <c r="E23" s="8">
        <v>41</v>
      </c>
      <c r="F23" s="8">
        <v>0</v>
      </c>
      <c r="G23" s="8">
        <v>41</v>
      </c>
      <c r="H23" s="12">
        <v>8864631.5899999999</v>
      </c>
      <c r="I23" s="12">
        <v>0</v>
      </c>
      <c r="J23" s="8">
        <v>21</v>
      </c>
      <c r="K23" s="8">
        <v>1</v>
      </c>
      <c r="L23" s="12">
        <v>0</v>
      </c>
      <c r="M23" s="8">
        <v>40</v>
      </c>
      <c r="N23" s="16">
        <v>8864631.5899999999</v>
      </c>
      <c r="O23" s="8">
        <v>-1</v>
      </c>
      <c r="P23" s="12">
        <v>0</v>
      </c>
      <c r="Q23" s="1">
        <v>0</v>
      </c>
    </row>
    <row r="24" spans="1:17" x14ac:dyDescent="0.3">
      <c r="A24" s="1" t="s">
        <v>46</v>
      </c>
      <c r="B24" s="1" t="s">
        <v>21</v>
      </c>
      <c r="C24" s="4">
        <v>1909418.67</v>
      </c>
      <c r="D24" s="4">
        <v>1854954.57</v>
      </c>
      <c r="E24" s="8">
        <v>866</v>
      </c>
      <c r="F24" s="8">
        <v>91</v>
      </c>
      <c r="G24" s="8">
        <v>957</v>
      </c>
      <c r="H24" s="12">
        <v>2094988.12</v>
      </c>
      <c r="I24" s="13">
        <v>240033.55</v>
      </c>
      <c r="J24" s="8">
        <v>738</v>
      </c>
      <c r="K24" s="8">
        <v>606</v>
      </c>
      <c r="L24" s="12">
        <v>212383.53</v>
      </c>
      <c r="M24" s="8">
        <v>351</v>
      </c>
      <c r="N24" s="16">
        <v>1882604.59</v>
      </c>
      <c r="O24" s="8">
        <v>-515</v>
      </c>
      <c r="P24" s="13">
        <v>27650.02</v>
      </c>
      <c r="Q24" s="1">
        <v>48</v>
      </c>
    </row>
    <row r="25" spans="1:17" x14ac:dyDescent="0.3">
      <c r="A25" s="1" t="s">
        <v>49</v>
      </c>
      <c r="B25" s="1" t="s">
        <v>21</v>
      </c>
      <c r="C25" s="4">
        <v>0</v>
      </c>
      <c r="D25" s="4">
        <v>55101.1</v>
      </c>
      <c r="E25" s="8">
        <v>168</v>
      </c>
      <c r="F25" s="8">
        <v>0</v>
      </c>
      <c r="G25" s="8">
        <v>168</v>
      </c>
      <c r="H25" s="12">
        <v>55101.1</v>
      </c>
      <c r="I25" s="12">
        <v>0</v>
      </c>
      <c r="J25" s="8">
        <v>163</v>
      </c>
      <c r="K25" s="8">
        <v>7</v>
      </c>
      <c r="L25" s="12">
        <v>0</v>
      </c>
      <c r="M25" s="8">
        <v>161</v>
      </c>
      <c r="N25" s="16">
        <v>55101.1</v>
      </c>
      <c r="O25" s="8">
        <v>-7</v>
      </c>
      <c r="P25" s="12">
        <v>0</v>
      </c>
      <c r="Q25" s="1">
        <v>101</v>
      </c>
    </row>
    <row r="26" spans="1:17" x14ac:dyDescent="0.3">
      <c r="A26" s="1" t="s">
        <v>50</v>
      </c>
      <c r="B26" s="1" t="s">
        <v>18</v>
      </c>
      <c r="C26" s="4">
        <v>308444.59999999998</v>
      </c>
      <c r="D26" s="4">
        <v>166600.23000000001</v>
      </c>
      <c r="E26" s="8">
        <v>86</v>
      </c>
      <c r="F26" s="8">
        <v>0</v>
      </c>
      <c r="G26" s="8">
        <v>86</v>
      </c>
      <c r="H26" s="13">
        <v>166600.22999999899</v>
      </c>
      <c r="I26" s="12">
        <v>0</v>
      </c>
      <c r="J26" s="8">
        <v>71</v>
      </c>
      <c r="K26" s="8">
        <v>1</v>
      </c>
      <c r="L26" s="12">
        <v>0</v>
      </c>
      <c r="M26" s="8">
        <v>85</v>
      </c>
      <c r="N26" s="17">
        <v>166600.22999999899</v>
      </c>
      <c r="O26" s="8">
        <v>-1</v>
      </c>
      <c r="P26" s="12">
        <v>0</v>
      </c>
      <c r="Q26" s="1">
        <v>0</v>
      </c>
    </row>
    <row r="27" spans="1:17" x14ac:dyDescent="0.3">
      <c r="A27" s="1" t="s">
        <v>52</v>
      </c>
      <c r="B27" s="1" t="s">
        <v>18</v>
      </c>
      <c r="C27" s="4">
        <v>1286220.32</v>
      </c>
      <c r="D27" s="4">
        <v>1358835.12</v>
      </c>
      <c r="E27" s="8">
        <v>272</v>
      </c>
      <c r="F27" s="8">
        <v>0</v>
      </c>
      <c r="G27" s="8">
        <v>272</v>
      </c>
      <c r="H27" s="13">
        <v>1358835.1199999901</v>
      </c>
      <c r="I27" s="12">
        <v>0</v>
      </c>
      <c r="J27" s="8">
        <v>172</v>
      </c>
      <c r="K27" s="8">
        <v>151</v>
      </c>
      <c r="L27" s="12">
        <v>29874</v>
      </c>
      <c r="M27" s="8">
        <v>121</v>
      </c>
      <c r="N27" s="16">
        <v>1328961.1200000001</v>
      </c>
      <c r="O27" s="8">
        <v>-151</v>
      </c>
      <c r="P27" s="12">
        <v>-29874</v>
      </c>
      <c r="Q27" s="1">
        <v>8</v>
      </c>
    </row>
    <row r="28" spans="1:17" x14ac:dyDescent="0.3">
      <c r="A28" s="1" t="s">
        <v>54</v>
      </c>
      <c r="B28" s="1" t="s">
        <v>26</v>
      </c>
      <c r="C28" s="4">
        <v>2997019.25</v>
      </c>
      <c r="D28" s="4">
        <v>2884935.27</v>
      </c>
      <c r="E28" s="8">
        <v>207</v>
      </c>
      <c r="F28" s="8">
        <v>0</v>
      </c>
      <c r="G28" s="8">
        <v>207</v>
      </c>
      <c r="H28" s="12">
        <v>2884935.27</v>
      </c>
      <c r="I28" s="12">
        <v>0</v>
      </c>
      <c r="J28" s="8">
        <v>68</v>
      </c>
      <c r="K28" s="8">
        <v>33</v>
      </c>
      <c r="L28" s="12">
        <v>24553.18</v>
      </c>
      <c r="M28" s="8">
        <v>174</v>
      </c>
      <c r="N28" s="16">
        <v>2860382.09</v>
      </c>
      <c r="O28" s="8">
        <v>-33</v>
      </c>
      <c r="P28" s="12">
        <v>-24553.18</v>
      </c>
      <c r="Q28" s="1">
        <v>0</v>
      </c>
    </row>
    <row r="29" spans="1:17" x14ac:dyDescent="0.3">
      <c r="A29" s="1" t="s">
        <v>55</v>
      </c>
      <c r="B29" s="1" t="s">
        <v>18</v>
      </c>
      <c r="C29" s="4">
        <v>80655.5</v>
      </c>
      <c r="D29" s="4">
        <v>125930.53</v>
      </c>
      <c r="E29" s="8">
        <v>2</v>
      </c>
      <c r="F29" s="8">
        <v>0</v>
      </c>
      <c r="G29" s="8">
        <v>2</v>
      </c>
      <c r="H29" s="12">
        <v>125930.53</v>
      </c>
      <c r="I29" s="12">
        <v>0</v>
      </c>
      <c r="J29" s="8">
        <v>1</v>
      </c>
      <c r="K29" s="8">
        <v>0</v>
      </c>
      <c r="L29" s="12">
        <v>0</v>
      </c>
      <c r="M29" s="8">
        <v>2</v>
      </c>
      <c r="N29" s="16">
        <v>125930.53</v>
      </c>
      <c r="O29" s="8">
        <v>0</v>
      </c>
      <c r="P29" s="12">
        <v>0</v>
      </c>
      <c r="Q29" s="1">
        <v>0</v>
      </c>
    </row>
    <row r="30" spans="1:17" x14ac:dyDescent="0.3">
      <c r="A30" s="1" t="s">
        <v>56</v>
      </c>
      <c r="B30" s="1" t="s">
        <v>21</v>
      </c>
      <c r="C30" s="4">
        <v>2556804.9</v>
      </c>
      <c r="D30" s="4">
        <v>2154258.2200000002</v>
      </c>
      <c r="E30" s="8">
        <v>860</v>
      </c>
      <c r="F30" s="8">
        <v>-10</v>
      </c>
      <c r="G30" s="8">
        <v>850</v>
      </c>
      <c r="H30" s="12">
        <v>2196666.2400000002</v>
      </c>
      <c r="I30" s="13">
        <v>42408.02</v>
      </c>
      <c r="J30" s="8">
        <v>609</v>
      </c>
      <c r="K30" s="8">
        <v>485</v>
      </c>
      <c r="L30" s="12">
        <v>156360.32999999999</v>
      </c>
      <c r="M30" s="8">
        <v>365</v>
      </c>
      <c r="N30" s="16">
        <v>2040305.91</v>
      </c>
      <c r="O30" s="8">
        <v>-495</v>
      </c>
      <c r="P30" s="12">
        <v>-113952.31</v>
      </c>
      <c r="Q30" s="1">
        <v>33</v>
      </c>
    </row>
    <row r="31" spans="1:17" x14ac:dyDescent="0.3">
      <c r="A31" s="1" t="s">
        <v>58</v>
      </c>
      <c r="B31" s="1" t="s">
        <v>21</v>
      </c>
      <c r="C31" s="4">
        <v>2180626.56</v>
      </c>
      <c r="D31" s="4">
        <v>2169759.1800000002</v>
      </c>
      <c r="E31" s="8">
        <v>895</v>
      </c>
      <c r="F31" s="8">
        <v>436</v>
      </c>
      <c r="G31" s="8">
        <v>1331</v>
      </c>
      <c r="H31" s="12">
        <v>2949797.28</v>
      </c>
      <c r="I31" s="13">
        <v>780038.09999999905</v>
      </c>
      <c r="J31" s="8">
        <v>1016</v>
      </c>
      <c r="K31" s="8">
        <v>860</v>
      </c>
      <c r="L31" s="12">
        <v>229360.12</v>
      </c>
      <c r="M31" s="8">
        <v>471</v>
      </c>
      <c r="N31" s="16">
        <v>2720437.16</v>
      </c>
      <c r="O31" s="8">
        <v>-424</v>
      </c>
      <c r="P31" s="12">
        <v>550677.98</v>
      </c>
      <c r="Q31" s="1">
        <v>48</v>
      </c>
    </row>
    <row r="32" spans="1:17" x14ac:dyDescent="0.3">
      <c r="A32" s="1" t="s">
        <v>60</v>
      </c>
      <c r="B32" s="1" t="s">
        <v>18</v>
      </c>
      <c r="C32" s="4">
        <v>1725</v>
      </c>
      <c r="D32" s="4">
        <v>1310</v>
      </c>
      <c r="E32" s="8">
        <v>1</v>
      </c>
      <c r="F32" s="8">
        <v>0</v>
      </c>
      <c r="G32" s="8">
        <v>1</v>
      </c>
      <c r="H32" s="12">
        <v>1310</v>
      </c>
      <c r="I32" s="12">
        <v>0</v>
      </c>
      <c r="J32" s="8">
        <v>1</v>
      </c>
      <c r="K32" s="8">
        <v>1</v>
      </c>
      <c r="L32" s="12">
        <v>1310</v>
      </c>
      <c r="M32" s="8">
        <v>0</v>
      </c>
      <c r="N32" s="16">
        <v>0</v>
      </c>
      <c r="O32" s="8">
        <v>-1</v>
      </c>
      <c r="P32" s="12">
        <v>-1310</v>
      </c>
      <c r="Q32" s="1">
        <v>0</v>
      </c>
    </row>
    <row r="33" spans="1:17" x14ac:dyDescent="0.3">
      <c r="A33" s="1" t="s">
        <v>61</v>
      </c>
      <c r="B33" s="1" t="s">
        <v>18</v>
      </c>
      <c r="C33" s="4">
        <v>199987.48</v>
      </c>
      <c r="D33" s="4">
        <v>234117.19</v>
      </c>
      <c r="E33" s="8">
        <v>100</v>
      </c>
      <c r="F33" s="8">
        <v>0</v>
      </c>
      <c r="G33" s="8">
        <v>100</v>
      </c>
      <c r="H33" s="12">
        <v>234117.19</v>
      </c>
      <c r="I33" s="12">
        <v>0</v>
      </c>
      <c r="J33" s="8">
        <v>69</v>
      </c>
      <c r="K33" s="8">
        <v>49</v>
      </c>
      <c r="L33" s="12">
        <v>3793</v>
      </c>
      <c r="M33" s="8">
        <v>51</v>
      </c>
      <c r="N33" s="16">
        <v>230324.19</v>
      </c>
      <c r="O33" s="8">
        <v>-49</v>
      </c>
      <c r="P33" s="12">
        <v>-3793</v>
      </c>
      <c r="Q33" s="1">
        <v>12</v>
      </c>
    </row>
    <row r="34" spans="1:17" x14ac:dyDescent="0.3">
      <c r="A34" s="1" t="s">
        <v>62</v>
      </c>
      <c r="B34" s="1" t="s">
        <v>26</v>
      </c>
      <c r="C34" s="4">
        <v>1678063.5</v>
      </c>
      <c r="D34" s="4">
        <v>1623756.33</v>
      </c>
      <c r="E34" s="8">
        <v>214</v>
      </c>
      <c r="F34" s="8">
        <v>0</v>
      </c>
      <c r="G34" s="8">
        <v>214</v>
      </c>
      <c r="H34" s="12">
        <v>1623756.33</v>
      </c>
      <c r="I34" s="12">
        <v>0</v>
      </c>
      <c r="J34" s="8">
        <v>113</v>
      </c>
      <c r="K34" s="8">
        <v>69</v>
      </c>
      <c r="L34" s="12">
        <v>32013.52</v>
      </c>
      <c r="M34" s="8">
        <v>145</v>
      </c>
      <c r="N34" s="16">
        <v>1591742.81</v>
      </c>
      <c r="O34" s="8">
        <v>-69</v>
      </c>
      <c r="P34" s="12">
        <v>-32013.52</v>
      </c>
      <c r="Q34" s="1">
        <v>0</v>
      </c>
    </row>
    <row r="35" spans="1:17" x14ac:dyDescent="0.3">
      <c r="A35" s="1" t="s">
        <v>63</v>
      </c>
      <c r="B35" s="1" t="s">
        <v>26</v>
      </c>
      <c r="C35" s="4">
        <v>3362816.28</v>
      </c>
      <c r="D35" s="4">
        <v>3089300.76</v>
      </c>
      <c r="E35" s="8">
        <v>321</v>
      </c>
      <c r="F35" s="8">
        <v>0</v>
      </c>
      <c r="G35" s="8">
        <v>321</v>
      </c>
      <c r="H35" s="13">
        <v>3089300.76</v>
      </c>
      <c r="I35" s="12">
        <v>0</v>
      </c>
      <c r="J35" s="8">
        <v>153</v>
      </c>
      <c r="K35" s="8">
        <v>117</v>
      </c>
      <c r="L35" s="12">
        <v>45970.22</v>
      </c>
      <c r="M35" s="8">
        <v>204</v>
      </c>
      <c r="N35" s="16">
        <v>3043330.54</v>
      </c>
      <c r="O35" s="8">
        <v>-117</v>
      </c>
      <c r="P35" s="12">
        <v>-45970.22</v>
      </c>
      <c r="Q35" s="1">
        <v>3</v>
      </c>
    </row>
    <row r="36" spans="1:17" x14ac:dyDescent="0.3">
      <c r="A36" s="1" t="s">
        <v>65</v>
      </c>
      <c r="B36" s="1" t="s">
        <v>21</v>
      </c>
      <c r="C36" s="4">
        <v>0</v>
      </c>
      <c r="D36" s="4">
        <v>55119.6</v>
      </c>
      <c r="E36" s="8">
        <v>142</v>
      </c>
      <c r="F36" s="8">
        <v>0</v>
      </c>
      <c r="G36" s="8">
        <v>142</v>
      </c>
      <c r="H36" s="12">
        <v>55119.6</v>
      </c>
      <c r="I36" s="12">
        <v>0</v>
      </c>
      <c r="J36" s="8">
        <v>138</v>
      </c>
      <c r="K36" s="8">
        <v>3</v>
      </c>
      <c r="L36" s="12">
        <v>0</v>
      </c>
      <c r="M36" s="8">
        <v>139</v>
      </c>
      <c r="N36" s="16">
        <v>55119.6</v>
      </c>
      <c r="O36" s="8">
        <v>-3</v>
      </c>
      <c r="P36" s="12">
        <v>0</v>
      </c>
      <c r="Q36" s="1">
        <v>87</v>
      </c>
    </row>
    <row r="37" spans="1:17" x14ac:dyDescent="0.3">
      <c r="A37" s="1" t="s">
        <v>66</v>
      </c>
      <c r="B37" s="1" t="s">
        <v>18</v>
      </c>
      <c r="C37" s="4">
        <v>737046.94</v>
      </c>
      <c r="D37" s="4">
        <v>856235.45</v>
      </c>
      <c r="E37" s="8">
        <v>268</v>
      </c>
      <c r="F37" s="8">
        <v>0</v>
      </c>
      <c r="G37" s="8">
        <v>268</v>
      </c>
      <c r="H37" s="12">
        <v>856235.45</v>
      </c>
      <c r="I37" s="12">
        <v>0</v>
      </c>
      <c r="J37" s="8">
        <v>200</v>
      </c>
      <c r="K37" s="8">
        <v>148</v>
      </c>
      <c r="L37" s="12">
        <v>46446.8</v>
      </c>
      <c r="M37" s="8">
        <v>120</v>
      </c>
      <c r="N37" s="16">
        <v>809788.65</v>
      </c>
      <c r="O37" s="8">
        <v>-148</v>
      </c>
      <c r="P37" s="12">
        <v>-46446.8</v>
      </c>
      <c r="Q37" s="1">
        <v>11</v>
      </c>
    </row>
    <row r="38" spans="1:17" x14ac:dyDescent="0.3">
      <c r="A38" s="23" t="s">
        <v>67</v>
      </c>
      <c r="B38" s="23" t="s">
        <v>18</v>
      </c>
      <c r="C38" s="7">
        <v>602852.37</v>
      </c>
      <c r="D38" s="7">
        <v>541001.96</v>
      </c>
      <c r="E38" s="24">
        <v>124</v>
      </c>
      <c r="F38" s="24">
        <v>0</v>
      </c>
      <c r="G38" s="24">
        <v>124</v>
      </c>
      <c r="H38" s="25">
        <v>541001.96</v>
      </c>
      <c r="I38" s="25">
        <v>0</v>
      </c>
      <c r="J38" s="24">
        <v>80</v>
      </c>
      <c r="K38" s="24">
        <v>64</v>
      </c>
      <c r="L38" s="25">
        <v>26481.39</v>
      </c>
      <c r="M38" s="24">
        <v>60</v>
      </c>
      <c r="N38" s="18">
        <v>514520.57</v>
      </c>
      <c r="O38" s="24">
        <v>-64</v>
      </c>
      <c r="P38" s="25">
        <v>-26481.39</v>
      </c>
      <c r="Q38" s="23">
        <v>2</v>
      </c>
    </row>
    <row r="39" spans="1:17" x14ac:dyDescent="0.3">
      <c r="A39" s="1" t="s">
        <v>68</v>
      </c>
      <c r="B39" s="1" t="s">
        <v>21</v>
      </c>
      <c r="C39" s="4">
        <v>179461.27</v>
      </c>
      <c r="D39" s="4">
        <v>1555673.72</v>
      </c>
      <c r="E39" s="8">
        <v>1403</v>
      </c>
      <c r="F39" s="8">
        <v>-569</v>
      </c>
      <c r="G39" s="8">
        <v>834</v>
      </c>
      <c r="H39" s="12">
        <v>2065215.47</v>
      </c>
      <c r="I39" s="12">
        <v>509541.75</v>
      </c>
      <c r="J39" s="8">
        <v>624</v>
      </c>
      <c r="K39" s="8">
        <v>491</v>
      </c>
      <c r="L39" s="12">
        <v>114786.33</v>
      </c>
      <c r="M39" s="8">
        <v>343</v>
      </c>
      <c r="N39" s="16">
        <v>1950429.14</v>
      </c>
      <c r="O39" s="8">
        <v>-1060</v>
      </c>
      <c r="P39" s="13">
        <v>394755.41999999899</v>
      </c>
      <c r="Q39" s="1">
        <v>40</v>
      </c>
    </row>
    <row r="40" spans="1:17" x14ac:dyDescent="0.3">
      <c r="A40" s="1" t="s">
        <v>70</v>
      </c>
      <c r="B40" s="1" t="s">
        <v>18</v>
      </c>
      <c r="C40" s="4">
        <v>118676.8</v>
      </c>
      <c r="D40" s="4">
        <v>326398.21999999997</v>
      </c>
      <c r="E40" s="8">
        <v>88</v>
      </c>
      <c r="F40" s="8">
        <v>0</v>
      </c>
      <c r="G40" s="8">
        <v>88</v>
      </c>
      <c r="H40" s="12">
        <v>326398.21999999997</v>
      </c>
      <c r="I40" s="12">
        <v>0</v>
      </c>
      <c r="J40" s="8">
        <v>71</v>
      </c>
      <c r="K40" s="8">
        <v>55</v>
      </c>
      <c r="L40" s="12">
        <v>12150.78</v>
      </c>
      <c r="M40" s="8">
        <v>33</v>
      </c>
      <c r="N40" s="16">
        <v>314247.44</v>
      </c>
      <c r="O40" s="8">
        <v>-55</v>
      </c>
      <c r="P40" s="12">
        <v>-12150.78</v>
      </c>
      <c r="Q40" s="1">
        <v>7</v>
      </c>
    </row>
    <row r="41" spans="1:17" x14ac:dyDescent="0.3">
      <c r="A41" s="1" t="s">
        <v>71</v>
      </c>
      <c r="B41" s="1" t="s">
        <v>18</v>
      </c>
      <c r="C41" s="4">
        <v>750560.15</v>
      </c>
      <c r="D41" s="4">
        <v>820619.48</v>
      </c>
      <c r="E41" s="8">
        <v>222</v>
      </c>
      <c r="F41" s="8">
        <v>0</v>
      </c>
      <c r="G41" s="8">
        <v>222</v>
      </c>
      <c r="H41" s="12">
        <v>820619.48</v>
      </c>
      <c r="I41" s="12">
        <v>0</v>
      </c>
      <c r="J41" s="8">
        <v>156</v>
      </c>
      <c r="K41" s="8">
        <v>122</v>
      </c>
      <c r="L41" s="12">
        <v>13496.75</v>
      </c>
      <c r="M41" s="8">
        <v>100</v>
      </c>
      <c r="N41" s="16">
        <v>807122.73</v>
      </c>
      <c r="O41" s="8">
        <v>-122</v>
      </c>
      <c r="P41" s="12">
        <v>-13496.75</v>
      </c>
      <c r="Q41" s="1">
        <v>4</v>
      </c>
    </row>
    <row r="42" spans="1:17" x14ac:dyDescent="0.3">
      <c r="A42" s="1" t="s">
        <v>72</v>
      </c>
      <c r="B42" s="1" t="s">
        <v>18</v>
      </c>
      <c r="C42" s="4">
        <v>0</v>
      </c>
      <c r="D42" s="4">
        <v>0</v>
      </c>
      <c r="E42" s="8">
        <v>1</v>
      </c>
      <c r="F42" s="8">
        <v>0</v>
      </c>
      <c r="G42" s="8">
        <v>1</v>
      </c>
      <c r="H42" s="12">
        <v>0</v>
      </c>
      <c r="I42" s="12">
        <v>0</v>
      </c>
      <c r="J42" s="8">
        <v>1</v>
      </c>
      <c r="K42" s="8">
        <v>0</v>
      </c>
      <c r="L42" s="12">
        <v>0</v>
      </c>
      <c r="M42" s="8">
        <v>1</v>
      </c>
      <c r="N42" s="16">
        <v>0</v>
      </c>
      <c r="O42" s="8">
        <v>0</v>
      </c>
      <c r="P42" s="12">
        <v>0</v>
      </c>
      <c r="Q42" s="1">
        <v>1</v>
      </c>
    </row>
    <row r="43" spans="1:17" x14ac:dyDescent="0.3">
      <c r="A43" s="1" t="s">
        <v>73</v>
      </c>
      <c r="B43" s="1" t="s">
        <v>18</v>
      </c>
      <c r="C43" s="4">
        <v>0</v>
      </c>
      <c r="D43" s="4">
        <v>0</v>
      </c>
      <c r="E43" s="8">
        <v>1</v>
      </c>
      <c r="F43" s="8">
        <v>0</v>
      </c>
      <c r="G43" s="8">
        <v>1</v>
      </c>
      <c r="H43" s="12">
        <v>0</v>
      </c>
      <c r="I43" s="12">
        <v>0</v>
      </c>
      <c r="J43" s="8">
        <v>1</v>
      </c>
      <c r="K43" s="8">
        <v>0</v>
      </c>
      <c r="L43" s="12">
        <v>0</v>
      </c>
      <c r="M43" s="8">
        <v>1</v>
      </c>
      <c r="N43" s="16">
        <v>0</v>
      </c>
      <c r="O43" s="8">
        <v>0</v>
      </c>
      <c r="P43" s="12">
        <v>0</v>
      </c>
      <c r="Q43" s="1">
        <v>0</v>
      </c>
    </row>
    <row r="44" spans="1:17" x14ac:dyDescent="0.3">
      <c r="A44" s="1" t="s">
        <v>74</v>
      </c>
      <c r="B44" s="1" t="s">
        <v>26</v>
      </c>
      <c r="C44" s="4">
        <v>1910383.7</v>
      </c>
      <c r="D44" s="4">
        <v>1805917.18</v>
      </c>
      <c r="E44" s="8">
        <v>159</v>
      </c>
      <c r="F44" s="8">
        <v>0</v>
      </c>
      <c r="G44" s="8">
        <v>159</v>
      </c>
      <c r="H44" s="12">
        <v>1805917.18</v>
      </c>
      <c r="I44" s="12">
        <v>0</v>
      </c>
      <c r="J44" s="8">
        <v>85</v>
      </c>
      <c r="K44" s="8">
        <v>39</v>
      </c>
      <c r="L44" s="12">
        <v>25650.35</v>
      </c>
      <c r="M44" s="8">
        <v>120</v>
      </c>
      <c r="N44" s="16">
        <v>1780266.83</v>
      </c>
      <c r="O44" s="8">
        <v>-39</v>
      </c>
      <c r="P44" s="12">
        <v>-25650.35</v>
      </c>
      <c r="Q44" s="1">
        <v>2</v>
      </c>
    </row>
    <row r="45" spans="1:17" x14ac:dyDescent="0.3">
      <c r="A45" s="1" t="s">
        <v>75</v>
      </c>
      <c r="B45" s="1" t="s">
        <v>26</v>
      </c>
      <c r="C45" s="4">
        <v>1684730.14</v>
      </c>
      <c r="D45" s="4">
        <v>1584817.02</v>
      </c>
      <c r="E45" s="8">
        <v>216</v>
      </c>
      <c r="F45" s="8">
        <v>0</v>
      </c>
      <c r="G45" s="8">
        <v>216</v>
      </c>
      <c r="H45" s="12">
        <v>1584817.02</v>
      </c>
      <c r="I45" s="12">
        <v>0</v>
      </c>
      <c r="J45" s="8">
        <v>105</v>
      </c>
      <c r="K45" s="8">
        <v>68</v>
      </c>
      <c r="L45" s="12">
        <v>29819.81</v>
      </c>
      <c r="M45" s="8">
        <v>148</v>
      </c>
      <c r="N45" s="16">
        <v>1554997.21</v>
      </c>
      <c r="O45" s="8">
        <v>-68</v>
      </c>
      <c r="P45" s="12">
        <v>-29819.81</v>
      </c>
      <c r="Q45" s="1">
        <v>8</v>
      </c>
    </row>
    <row r="46" spans="1:17" x14ac:dyDescent="0.3">
      <c r="A46" s="1" t="s">
        <v>76</v>
      </c>
      <c r="B46" s="1" t="s">
        <v>18</v>
      </c>
      <c r="C46" s="4">
        <v>0</v>
      </c>
      <c r="D46" s="4">
        <v>0</v>
      </c>
      <c r="E46" s="8">
        <v>1</v>
      </c>
      <c r="F46" s="8">
        <v>0</v>
      </c>
      <c r="G46" s="8">
        <v>1</v>
      </c>
      <c r="H46" s="12">
        <v>0</v>
      </c>
      <c r="I46" s="12">
        <v>0</v>
      </c>
      <c r="J46" s="8">
        <v>1</v>
      </c>
      <c r="K46" s="8">
        <v>0</v>
      </c>
      <c r="L46" s="12">
        <v>0</v>
      </c>
      <c r="M46" s="8">
        <v>1</v>
      </c>
      <c r="N46" s="16">
        <v>0</v>
      </c>
      <c r="O46" s="8">
        <v>0</v>
      </c>
      <c r="P46" s="12">
        <v>0</v>
      </c>
      <c r="Q46" s="1">
        <v>0</v>
      </c>
    </row>
    <row r="47" spans="1:17" x14ac:dyDescent="0.3">
      <c r="A47" s="19" t="s">
        <v>77</v>
      </c>
      <c r="B47" s="19" t="s">
        <v>18</v>
      </c>
      <c r="C47" s="5">
        <v>426488.14</v>
      </c>
      <c r="D47" s="5">
        <v>996346.2</v>
      </c>
      <c r="E47" s="20">
        <v>1415</v>
      </c>
      <c r="F47" s="20">
        <v>0</v>
      </c>
      <c r="G47" s="20">
        <v>1415</v>
      </c>
      <c r="H47" s="21">
        <v>996346.2</v>
      </c>
      <c r="I47" s="21">
        <v>0</v>
      </c>
      <c r="J47" s="20">
        <v>1394</v>
      </c>
      <c r="K47" s="20">
        <v>1089</v>
      </c>
      <c r="L47" s="21">
        <v>13373.6</v>
      </c>
      <c r="M47" s="20">
        <v>326</v>
      </c>
      <c r="N47" s="22">
        <v>982972.6</v>
      </c>
      <c r="O47" s="20">
        <v>-1089</v>
      </c>
      <c r="P47" s="21">
        <v>-13373.6</v>
      </c>
      <c r="Q47" s="19">
        <v>8</v>
      </c>
    </row>
    <row r="48" spans="1:17" x14ac:dyDescent="0.3">
      <c r="A48" s="1" t="s">
        <v>79</v>
      </c>
      <c r="B48" s="1" t="s">
        <v>18</v>
      </c>
      <c r="C48" s="4">
        <v>6248721.3899999997</v>
      </c>
      <c r="D48" s="4">
        <v>3909234.27</v>
      </c>
      <c r="E48" s="8">
        <v>30</v>
      </c>
      <c r="F48" s="8">
        <v>0</v>
      </c>
      <c r="G48" s="8">
        <v>30</v>
      </c>
      <c r="H48" s="12">
        <v>3909234.27</v>
      </c>
      <c r="I48" s="12">
        <v>0</v>
      </c>
      <c r="J48" s="8">
        <v>16</v>
      </c>
      <c r="K48" s="8">
        <v>0</v>
      </c>
      <c r="L48" s="12">
        <v>0</v>
      </c>
      <c r="M48" s="8">
        <v>30</v>
      </c>
      <c r="N48" s="16">
        <v>3909234.27</v>
      </c>
      <c r="O48" s="8">
        <v>0</v>
      </c>
      <c r="P48" s="12">
        <v>0</v>
      </c>
      <c r="Q48" s="1">
        <v>0</v>
      </c>
    </row>
    <row r="49" spans="1:17" x14ac:dyDescent="0.3">
      <c r="A49" s="1" t="s">
        <v>80</v>
      </c>
      <c r="B49" s="1" t="s">
        <v>26</v>
      </c>
      <c r="C49" s="4">
        <v>1735276.45</v>
      </c>
      <c r="D49" s="4">
        <v>1512559.56</v>
      </c>
      <c r="E49" s="8">
        <v>155</v>
      </c>
      <c r="F49" s="8">
        <v>0</v>
      </c>
      <c r="G49" s="8">
        <v>155</v>
      </c>
      <c r="H49" s="12">
        <v>1512559.56</v>
      </c>
      <c r="I49" s="12">
        <v>0</v>
      </c>
      <c r="J49" s="8">
        <v>57</v>
      </c>
      <c r="K49" s="8">
        <v>25</v>
      </c>
      <c r="L49" s="12">
        <v>12547.45</v>
      </c>
      <c r="M49" s="8">
        <v>130</v>
      </c>
      <c r="N49" s="16">
        <v>1500012.11</v>
      </c>
      <c r="O49" s="8">
        <v>-25</v>
      </c>
      <c r="P49" s="12">
        <v>-12547.45</v>
      </c>
      <c r="Q49" s="1">
        <v>5</v>
      </c>
    </row>
    <row r="50" spans="1:17" x14ac:dyDescent="0.3">
      <c r="A50" s="1" t="s">
        <v>81</v>
      </c>
      <c r="B50" s="1" t="s">
        <v>18</v>
      </c>
      <c r="C50" s="4">
        <v>516</v>
      </c>
      <c r="D50" s="4">
        <v>8564</v>
      </c>
      <c r="E50" s="8">
        <v>3</v>
      </c>
      <c r="F50" s="8">
        <v>0</v>
      </c>
      <c r="G50" s="8">
        <v>3</v>
      </c>
      <c r="H50" s="12">
        <v>8564</v>
      </c>
      <c r="I50" s="12">
        <v>0</v>
      </c>
      <c r="J50" s="8">
        <v>2</v>
      </c>
      <c r="K50" s="8">
        <v>1</v>
      </c>
      <c r="L50" s="12">
        <v>0</v>
      </c>
      <c r="M50" s="8">
        <v>2</v>
      </c>
      <c r="N50" s="16">
        <v>8564</v>
      </c>
      <c r="O50" s="8">
        <v>-1</v>
      </c>
      <c r="P50" s="12">
        <v>0</v>
      </c>
      <c r="Q50" s="1">
        <v>1</v>
      </c>
    </row>
    <row r="51" spans="1:17" x14ac:dyDescent="0.3">
      <c r="A51" s="1" t="s">
        <v>82</v>
      </c>
      <c r="B51" s="1" t="s">
        <v>18</v>
      </c>
      <c r="C51" s="4">
        <v>1241834.71</v>
      </c>
      <c r="D51" s="4">
        <v>1134956.3999999999</v>
      </c>
      <c r="E51" s="8">
        <v>180</v>
      </c>
      <c r="F51" s="8">
        <v>0</v>
      </c>
      <c r="G51" s="8">
        <v>180</v>
      </c>
      <c r="H51" s="12">
        <v>1134956.3999999999</v>
      </c>
      <c r="I51" s="12">
        <v>0</v>
      </c>
      <c r="J51" s="8">
        <v>101</v>
      </c>
      <c r="K51" s="8">
        <v>65</v>
      </c>
      <c r="L51" s="12">
        <v>30724.38</v>
      </c>
      <c r="M51" s="8">
        <v>115</v>
      </c>
      <c r="N51" s="16">
        <v>1104232.02</v>
      </c>
      <c r="O51" s="8">
        <v>-65</v>
      </c>
      <c r="P51" s="12">
        <v>-30724.38</v>
      </c>
      <c r="Q51" s="1">
        <v>3</v>
      </c>
    </row>
    <row r="52" spans="1:17" x14ac:dyDescent="0.3">
      <c r="A52" s="1" t="s">
        <v>83</v>
      </c>
      <c r="B52" s="1" t="s">
        <v>26</v>
      </c>
      <c r="C52" s="4">
        <v>1262360.52</v>
      </c>
      <c r="D52" s="4">
        <v>1090121.99</v>
      </c>
      <c r="E52" s="8">
        <v>188</v>
      </c>
      <c r="F52" s="8">
        <v>0</v>
      </c>
      <c r="G52" s="8">
        <v>188</v>
      </c>
      <c r="H52" s="12">
        <v>1090121.99</v>
      </c>
      <c r="I52" s="12">
        <v>0</v>
      </c>
      <c r="J52" s="8">
        <v>111</v>
      </c>
      <c r="K52" s="8">
        <v>71</v>
      </c>
      <c r="L52" s="12">
        <v>28352.44</v>
      </c>
      <c r="M52" s="8">
        <v>117</v>
      </c>
      <c r="N52" s="16">
        <v>1061769.55</v>
      </c>
      <c r="O52" s="8">
        <v>-71</v>
      </c>
      <c r="P52" s="12">
        <v>-28352.44</v>
      </c>
      <c r="Q52" s="1">
        <v>7</v>
      </c>
    </row>
    <row r="53" spans="1:17" x14ac:dyDescent="0.3">
      <c r="A53" s="1" t="s">
        <v>84</v>
      </c>
      <c r="B53" s="1" t="s">
        <v>85</v>
      </c>
      <c r="C53" s="4">
        <v>0</v>
      </c>
      <c r="D53" s="4">
        <v>0</v>
      </c>
      <c r="E53" s="8">
        <v>2</v>
      </c>
      <c r="F53" s="8">
        <v>0</v>
      </c>
      <c r="G53" s="8">
        <v>2</v>
      </c>
      <c r="H53" s="12">
        <v>0</v>
      </c>
      <c r="I53" s="12">
        <v>0</v>
      </c>
      <c r="J53" s="8">
        <v>2</v>
      </c>
      <c r="K53" s="8">
        <v>2</v>
      </c>
      <c r="L53" s="12">
        <v>0</v>
      </c>
      <c r="M53" s="8">
        <v>0</v>
      </c>
      <c r="N53" s="16">
        <v>0</v>
      </c>
      <c r="O53" s="8">
        <v>-2</v>
      </c>
      <c r="P53" s="12">
        <v>0</v>
      </c>
      <c r="Q53" s="1">
        <v>0</v>
      </c>
    </row>
    <row r="54" spans="1:17" x14ac:dyDescent="0.3">
      <c r="A54" s="1" t="s">
        <v>86</v>
      </c>
      <c r="B54" s="1" t="s">
        <v>18</v>
      </c>
      <c r="C54" s="4">
        <v>2237042.31</v>
      </c>
      <c r="D54" s="4">
        <v>2118559.2799999998</v>
      </c>
      <c r="E54" s="8">
        <v>475</v>
      </c>
      <c r="F54" s="8">
        <v>0</v>
      </c>
      <c r="G54" s="8">
        <v>475</v>
      </c>
      <c r="H54" s="12">
        <v>2118559.2799999998</v>
      </c>
      <c r="I54" s="12">
        <v>0</v>
      </c>
      <c r="J54" s="8">
        <v>347</v>
      </c>
      <c r="K54" s="8">
        <v>217</v>
      </c>
      <c r="L54" s="12">
        <v>21821.919999999998</v>
      </c>
      <c r="M54" s="8">
        <v>258</v>
      </c>
      <c r="N54" s="16">
        <v>2096737.36</v>
      </c>
      <c r="O54" s="8">
        <v>-217</v>
      </c>
      <c r="P54" s="12">
        <v>-21821.919999999998</v>
      </c>
      <c r="Q54" s="1">
        <v>10</v>
      </c>
    </row>
    <row r="55" spans="1:17" x14ac:dyDescent="0.3">
      <c r="A55" s="1" t="s">
        <v>87</v>
      </c>
      <c r="B55" s="1" t="s">
        <v>18</v>
      </c>
      <c r="C55" s="4">
        <v>142579.72</v>
      </c>
      <c r="D55" s="4">
        <v>212981.42</v>
      </c>
      <c r="E55" s="8">
        <v>160</v>
      </c>
      <c r="F55" s="8">
        <v>0</v>
      </c>
      <c r="G55" s="8">
        <v>160</v>
      </c>
      <c r="H55" s="12">
        <v>212981.42</v>
      </c>
      <c r="I55" s="12">
        <v>0</v>
      </c>
      <c r="J55" s="8">
        <v>134</v>
      </c>
      <c r="K55" s="8">
        <v>85</v>
      </c>
      <c r="L55" s="12">
        <v>14013.22</v>
      </c>
      <c r="M55" s="8">
        <v>75</v>
      </c>
      <c r="N55" s="16">
        <v>198968.2</v>
      </c>
      <c r="O55" s="8">
        <v>-85</v>
      </c>
      <c r="P55" s="12">
        <v>-14013.22</v>
      </c>
      <c r="Q55" s="1">
        <v>30</v>
      </c>
    </row>
    <row r="56" spans="1:17" x14ac:dyDescent="0.3">
      <c r="A56" s="1" t="s">
        <v>88</v>
      </c>
      <c r="B56" s="1" t="s">
        <v>18</v>
      </c>
      <c r="C56" s="4">
        <v>838775.52</v>
      </c>
      <c r="D56" s="4">
        <v>833953.04</v>
      </c>
      <c r="E56" s="8">
        <v>123</v>
      </c>
      <c r="F56" s="8">
        <v>0</v>
      </c>
      <c r="G56" s="8">
        <v>123</v>
      </c>
      <c r="H56" s="12">
        <v>833953.04</v>
      </c>
      <c r="I56" s="12">
        <v>0</v>
      </c>
      <c r="J56" s="8">
        <v>72</v>
      </c>
      <c r="K56" s="8">
        <v>58</v>
      </c>
      <c r="L56" s="12">
        <v>16680.599999999999</v>
      </c>
      <c r="M56" s="8">
        <v>65</v>
      </c>
      <c r="N56" s="16">
        <v>817272.44</v>
      </c>
      <c r="O56" s="8">
        <v>-58</v>
      </c>
      <c r="P56" s="12">
        <v>-16680.599999999999</v>
      </c>
      <c r="Q56" s="1">
        <v>1</v>
      </c>
    </row>
    <row r="57" spans="1:17" x14ac:dyDescent="0.3">
      <c r="A57" s="1" t="s">
        <v>89</v>
      </c>
      <c r="B57" s="1" t="s">
        <v>18</v>
      </c>
      <c r="C57" s="4">
        <v>1418968.01</v>
      </c>
      <c r="D57" s="4">
        <v>1585036.97</v>
      </c>
      <c r="E57" s="8">
        <v>148</v>
      </c>
      <c r="F57" s="8">
        <v>0</v>
      </c>
      <c r="G57" s="8">
        <v>148</v>
      </c>
      <c r="H57" s="12">
        <v>1585036.97</v>
      </c>
      <c r="I57" s="12">
        <v>0</v>
      </c>
      <c r="J57" s="8">
        <v>88</v>
      </c>
      <c r="K57" s="8">
        <v>53</v>
      </c>
      <c r="L57" s="12">
        <v>18851.5</v>
      </c>
      <c r="M57" s="8">
        <v>95</v>
      </c>
      <c r="N57" s="16">
        <v>1566185.47</v>
      </c>
      <c r="O57" s="8">
        <v>-53</v>
      </c>
      <c r="P57" s="12">
        <v>-18851.5</v>
      </c>
      <c r="Q57" s="1">
        <v>5</v>
      </c>
    </row>
    <row r="58" spans="1:17" x14ac:dyDescent="0.3">
      <c r="A58" s="1" t="s">
        <v>90</v>
      </c>
      <c r="B58" s="1" t="s">
        <v>18</v>
      </c>
      <c r="C58" s="4">
        <v>1747291.31</v>
      </c>
      <c r="D58" s="4">
        <v>1711828.84</v>
      </c>
      <c r="E58" s="8">
        <v>230</v>
      </c>
      <c r="F58" s="8">
        <v>0</v>
      </c>
      <c r="G58" s="8">
        <v>230</v>
      </c>
      <c r="H58" s="12">
        <v>1711828.84</v>
      </c>
      <c r="I58" s="12">
        <v>0</v>
      </c>
      <c r="J58" s="8">
        <v>130</v>
      </c>
      <c r="K58" s="8">
        <v>86</v>
      </c>
      <c r="L58" s="12">
        <v>38538.22</v>
      </c>
      <c r="M58" s="8">
        <v>144</v>
      </c>
      <c r="N58" s="16">
        <v>1673290.62</v>
      </c>
      <c r="O58" s="8">
        <v>-86</v>
      </c>
      <c r="P58" s="12">
        <v>-38538.22</v>
      </c>
      <c r="Q58" s="1">
        <v>7</v>
      </c>
    </row>
    <row r="59" spans="1:17" x14ac:dyDescent="0.3">
      <c r="A59" s="1" t="s">
        <v>91</v>
      </c>
      <c r="B59" s="1" t="s">
        <v>18</v>
      </c>
      <c r="C59" s="4">
        <v>23678.92</v>
      </c>
      <c r="D59" s="4">
        <v>-304071.99</v>
      </c>
      <c r="E59" s="8">
        <v>310</v>
      </c>
      <c r="F59" s="8">
        <v>0</v>
      </c>
      <c r="G59" s="8">
        <v>310</v>
      </c>
      <c r="H59" s="12">
        <v>-304071.99</v>
      </c>
      <c r="I59" s="12">
        <v>0</v>
      </c>
      <c r="J59" s="8">
        <v>309</v>
      </c>
      <c r="K59" s="8">
        <v>193</v>
      </c>
      <c r="L59" s="12">
        <v>0</v>
      </c>
      <c r="M59" s="8">
        <v>117</v>
      </c>
      <c r="N59" s="16">
        <v>-304071.99</v>
      </c>
      <c r="O59" s="8">
        <v>-193</v>
      </c>
      <c r="P59" s="12">
        <v>0</v>
      </c>
      <c r="Q59" s="1">
        <v>0</v>
      </c>
    </row>
    <row r="60" spans="1:17" x14ac:dyDescent="0.3">
      <c r="A60" s="1" t="s">
        <v>92</v>
      </c>
      <c r="B60" s="1" t="s">
        <v>18</v>
      </c>
      <c r="C60" s="4">
        <v>12.33</v>
      </c>
      <c r="D60" s="4">
        <v>-18.43</v>
      </c>
      <c r="E60" s="8">
        <v>9</v>
      </c>
      <c r="F60" s="8">
        <v>0</v>
      </c>
      <c r="G60" s="8">
        <v>9</v>
      </c>
      <c r="H60" s="12">
        <v>-18.43</v>
      </c>
      <c r="I60" s="12">
        <v>0</v>
      </c>
      <c r="J60" s="8">
        <v>9</v>
      </c>
      <c r="K60" s="8">
        <v>6</v>
      </c>
      <c r="L60" s="12">
        <v>-20.48</v>
      </c>
      <c r="M60" s="8">
        <v>3</v>
      </c>
      <c r="N60" s="16">
        <v>2.0499999999999998</v>
      </c>
      <c r="O60" s="8">
        <v>-6</v>
      </c>
      <c r="P60" s="12">
        <v>20.48</v>
      </c>
      <c r="Q60" s="1">
        <v>1</v>
      </c>
    </row>
    <row r="61" spans="1:17" x14ac:dyDescent="0.3">
      <c r="A61" s="1" t="s">
        <v>93</v>
      </c>
      <c r="B61" s="1" t="s">
        <v>18</v>
      </c>
      <c r="C61" s="4">
        <v>0</v>
      </c>
      <c r="D61" s="4">
        <v>0</v>
      </c>
      <c r="E61" s="8">
        <v>5</v>
      </c>
      <c r="F61" s="8">
        <v>0</v>
      </c>
      <c r="G61" s="8">
        <v>5</v>
      </c>
      <c r="H61" s="12">
        <v>0</v>
      </c>
      <c r="I61" s="12">
        <v>0</v>
      </c>
      <c r="J61" s="8">
        <v>5</v>
      </c>
      <c r="K61" s="8">
        <v>1</v>
      </c>
      <c r="L61" s="12">
        <v>0</v>
      </c>
      <c r="M61" s="8">
        <v>4</v>
      </c>
      <c r="N61" s="16">
        <v>0</v>
      </c>
      <c r="O61" s="8">
        <v>-1</v>
      </c>
      <c r="P61" s="12">
        <v>0</v>
      </c>
      <c r="Q61" s="1">
        <v>0</v>
      </c>
    </row>
    <row r="62" spans="1:17" x14ac:dyDescent="0.3">
      <c r="A62" s="1" t="s">
        <v>94</v>
      </c>
      <c r="B62" s="1" t="s">
        <v>18</v>
      </c>
      <c r="C62" s="4">
        <v>118591.03999999999</v>
      </c>
      <c r="D62" s="4">
        <v>108830.14</v>
      </c>
      <c r="E62" s="8">
        <v>91</v>
      </c>
      <c r="F62" s="8">
        <v>0</v>
      </c>
      <c r="G62" s="8">
        <v>91</v>
      </c>
      <c r="H62" s="12">
        <v>108830.14</v>
      </c>
      <c r="I62" s="12">
        <v>0</v>
      </c>
      <c r="J62" s="8">
        <v>77</v>
      </c>
      <c r="K62" s="8">
        <v>54</v>
      </c>
      <c r="L62" s="12">
        <v>9068.75</v>
      </c>
      <c r="M62" s="8">
        <v>37</v>
      </c>
      <c r="N62" s="16">
        <v>99761.39</v>
      </c>
      <c r="O62" s="8">
        <v>-54</v>
      </c>
      <c r="P62" s="12">
        <v>-9068.75</v>
      </c>
      <c r="Q62" s="1">
        <v>13</v>
      </c>
    </row>
    <row r="63" spans="1:17" x14ac:dyDescent="0.3">
      <c r="A63" s="1" t="s">
        <v>95</v>
      </c>
      <c r="B63" s="1" t="s">
        <v>21</v>
      </c>
      <c r="C63" s="4">
        <v>2312696.59</v>
      </c>
      <c r="D63" s="4">
        <v>2035345.12</v>
      </c>
      <c r="E63" s="8">
        <v>639</v>
      </c>
      <c r="F63" s="8">
        <v>-108</v>
      </c>
      <c r="G63" s="8">
        <v>531</v>
      </c>
      <c r="H63" s="12">
        <v>1765701.31</v>
      </c>
      <c r="I63" s="12">
        <v>-269643.81</v>
      </c>
      <c r="J63" s="8">
        <v>372</v>
      </c>
      <c r="K63" s="8">
        <v>304</v>
      </c>
      <c r="L63" s="12">
        <v>90626.27</v>
      </c>
      <c r="M63" s="8">
        <v>227</v>
      </c>
      <c r="N63" s="16">
        <v>1675075.04</v>
      </c>
      <c r="O63" s="8">
        <v>-412</v>
      </c>
      <c r="P63" s="12">
        <v>-360270.08000000002</v>
      </c>
      <c r="Q63" s="1">
        <v>19</v>
      </c>
    </row>
    <row r="64" spans="1:17" x14ac:dyDescent="0.3">
      <c r="A64" s="1" t="s">
        <v>96</v>
      </c>
      <c r="B64" s="1" t="s">
        <v>18</v>
      </c>
      <c r="C64" s="4">
        <v>0</v>
      </c>
      <c r="D64" s="4">
        <v>0</v>
      </c>
      <c r="E64" s="8">
        <v>2</v>
      </c>
      <c r="F64" s="8">
        <v>0</v>
      </c>
      <c r="G64" s="8">
        <v>2</v>
      </c>
      <c r="H64" s="12">
        <v>0</v>
      </c>
      <c r="I64" s="12">
        <v>0</v>
      </c>
      <c r="J64" s="8">
        <v>2</v>
      </c>
      <c r="K64" s="8">
        <v>2</v>
      </c>
      <c r="L64" s="12">
        <v>0</v>
      </c>
      <c r="M64" s="8">
        <v>0</v>
      </c>
      <c r="N64" s="16">
        <v>0</v>
      </c>
      <c r="O64" s="8">
        <v>-2</v>
      </c>
      <c r="P64" s="12">
        <v>0</v>
      </c>
      <c r="Q64" s="1">
        <v>0</v>
      </c>
    </row>
    <row r="65" spans="1:17" x14ac:dyDescent="0.3">
      <c r="A65" s="1" t="s">
        <v>97</v>
      </c>
      <c r="B65" s="1" t="s">
        <v>21</v>
      </c>
      <c r="C65" s="4">
        <v>2390069.19</v>
      </c>
      <c r="D65" s="4">
        <v>2198108.2999999998</v>
      </c>
      <c r="E65" s="8">
        <v>674</v>
      </c>
      <c r="F65" s="8">
        <v>79</v>
      </c>
      <c r="G65" s="8">
        <v>753</v>
      </c>
      <c r="H65" s="12">
        <v>1708395.73</v>
      </c>
      <c r="I65" s="12">
        <v>-489712.57</v>
      </c>
      <c r="J65" s="8">
        <v>559</v>
      </c>
      <c r="K65" s="8">
        <v>475</v>
      </c>
      <c r="L65" s="12">
        <v>155907.35999999999</v>
      </c>
      <c r="M65" s="8">
        <v>278</v>
      </c>
      <c r="N65" s="16">
        <v>1552488.37</v>
      </c>
      <c r="O65" s="8">
        <v>-396</v>
      </c>
      <c r="P65" s="12">
        <v>-645619.93000000005</v>
      </c>
      <c r="Q65" s="1">
        <v>29</v>
      </c>
    </row>
    <row r="66" spans="1:17" x14ac:dyDescent="0.3">
      <c r="C66" s="4"/>
      <c r="D66" s="4"/>
      <c r="H66" s="12"/>
      <c r="I66" s="12"/>
      <c r="L66" s="12"/>
      <c r="M66" s="8"/>
      <c r="N66" s="16"/>
    </row>
    <row r="67" spans="1:17" x14ac:dyDescent="0.3">
      <c r="C67" s="6">
        <f>SUM(C3:C65)</f>
        <v>90979065.450000003</v>
      </c>
      <c r="D67" s="6">
        <f>SUM(D3:D65)</f>
        <v>84760387.570000008</v>
      </c>
      <c r="E67" s="10">
        <f>SUM(E3:E65)</f>
        <v>17332</v>
      </c>
      <c r="F67" s="10">
        <f>SUM(F3:F65)</f>
        <v>-18</v>
      </c>
      <c r="G67" s="10">
        <f>SUM(G3:G65)</f>
        <v>17314</v>
      </c>
      <c r="H67" s="12">
        <f>SUM(H3:H65)</f>
        <v>84577922.370000005</v>
      </c>
      <c r="I67" s="12">
        <f>SUM(I3:I65)</f>
        <v>-182465.20000000182</v>
      </c>
      <c r="J67" s="10">
        <f>SUM(J3:J65)</f>
        <v>12752</v>
      </c>
      <c r="K67" s="10">
        <f>SUM(K3:K65)</f>
        <v>9509</v>
      </c>
      <c r="L67" s="14">
        <f>SUM(L3:L65)</f>
        <v>2137524.64</v>
      </c>
      <c r="M67" s="10">
        <f>SUM(M3:M65)</f>
        <v>7805</v>
      </c>
      <c r="N67" s="14">
        <f>SUM(N3:N65)</f>
        <v>82440397.730000004</v>
      </c>
      <c r="O67" s="4">
        <f>SUM(O3:O65)</f>
        <v>-9527</v>
      </c>
      <c r="P67" s="11">
        <f>SUM(P3:P65)</f>
        <v>-2319989.8400000012</v>
      </c>
      <c r="Q67" s="4">
        <f>SUM(Q3:Q65)</f>
        <v>730</v>
      </c>
    </row>
    <row r="68" spans="1:17" x14ac:dyDescent="0.3">
      <c r="A68" s="1" t="s">
        <v>98</v>
      </c>
      <c r="H68" s="12">
        <v>-669698.78</v>
      </c>
      <c r="I68" s="12">
        <v>-669698.78</v>
      </c>
      <c r="P68" s="11">
        <v>-669698.78</v>
      </c>
    </row>
    <row r="70" spans="1:17" x14ac:dyDescent="0.3">
      <c r="A70" s="1" t="s">
        <v>99</v>
      </c>
      <c r="H70" s="12">
        <f>SUM(H67:H68)</f>
        <v>83908223.590000004</v>
      </c>
      <c r="I70" s="12">
        <f>SUM(I67:I68)</f>
        <v>-852163.98000000184</v>
      </c>
      <c r="P70" s="15">
        <f>SUM(P67:P68)</f>
        <v>-2989688.620000001</v>
      </c>
    </row>
  </sheetData>
  <autoFilter ref="A2:Q65" xr:uid="{61113682-09CA-4270-9B91-4E42A3C6ED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F18C-93AD-42D1-A027-A3AA1F794853}">
  <dimension ref="A1:Q65"/>
  <sheetViews>
    <sheetView workbookViewId="0">
      <selection activeCell="C2" sqref="C2"/>
    </sheetView>
  </sheetViews>
  <sheetFormatPr defaultRowHeight="13.8" x14ac:dyDescent="0.3"/>
  <cols>
    <col min="1" max="2" width="8.88671875" style="1"/>
    <col min="3" max="3" width="12.33203125" style="1" bestFit="1" customWidth="1"/>
    <col min="4" max="4" width="12.109375" style="1" bestFit="1" customWidth="1"/>
    <col min="5" max="7" width="9" style="1" bestFit="1" customWidth="1"/>
    <col min="8" max="8" width="10.6640625" style="1" bestFit="1" customWidth="1"/>
    <col min="9" max="9" width="9.6640625" style="1" bestFit="1" customWidth="1"/>
    <col min="10" max="13" width="9" style="1" bestFit="1" customWidth="1"/>
    <col min="14" max="14" width="10.6640625" style="1" bestFit="1" customWidth="1"/>
    <col min="15" max="15" width="9" style="1" bestFit="1" customWidth="1"/>
    <col min="16" max="16" width="9.6640625" style="1" bestFit="1" customWidth="1"/>
    <col min="17" max="17" width="9" style="1" bestFit="1" customWidth="1"/>
    <col min="18" max="16384" width="8.88671875" style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 t="s">
        <v>17</v>
      </c>
      <c r="B2" s="1" t="s">
        <v>18</v>
      </c>
      <c r="C2" s="1">
        <v>795662.5</v>
      </c>
      <c r="D2" s="1">
        <v>512684.85</v>
      </c>
      <c r="E2" s="1">
        <v>115</v>
      </c>
      <c r="F2" s="1">
        <v>0</v>
      </c>
      <c r="G2" s="1">
        <v>115</v>
      </c>
      <c r="H2" s="1">
        <v>512684.85</v>
      </c>
      <c r="I2" s="1">
        <v>0</v>
      </c>
      <c r="J2" s="1">
        <v>85</v>
      </c>
      <c r="K2" s="1">
        <v>40</v>
      </c>
      <c r="L2" s="1">
        <v>7454.4</v>
      </c>
      <c r="M2" s="1">
        <v>75</v>
      </c>
      <c r="N2" s="1">
        <v>505230.45</v>
      </c>
      <c r="O2" s="1">
        <v>-40</v>
      </c>
      <c r="P2" s="1">
        <v>-7454.4</v>
      </c>
      <c r="Q2" s="1">
        <v>0</v>
      </c>
    </row>
    <row r="3" spans="1:17" x14ac:dyDescent="0.3">
      <c r="A3" s="1" t="s">
        <v>19</v>
      </c>
      <c r="B3" s="1" t="s">
        <v>18</v>
      </c>
      <c r="C3" s="1">
        <v>23659</v>
      </c>
      <c r="D3" s="1">
        <v>121755.02</v>
      </c>
      <c r="E3" s="1">
        <v>3</v>
      </c>
      <c r="F3" s="1">
        <v>0</v>
      </c>
      <c r="G3" s="1">
        <v>3</v>
      </c>
      <c r="H3" s="1">
        <v>121755.02</v>
      </c>
      <c r="I3" s="1">
        <v>0</v>
      </c>
      <c r="J3" s="1">
        <v>2</v>
      </c>
      <c r="K3" s="1">
        <v>0</v>
      </c>
      <c r="L3" s="1">
        <v>0</v>
      </c>
      <c r="M3" s="1">
        <v>3</v>
      </c>
      <c r="N3" s="1">
        <v>121755.02</v>
      </c>
      <c r="O3" s="1">
        <v>0</v>
      </c>
      <c r="P3" s="1">
        <v>0</v>
      </c>
      <c r="Q3" s="1">
        <v>1</v>
      </c>
    </row>
    <row r="4" spans="1:17" x14ac:dyDescent="0.3">
      <c r="A4" s="1" t="s">
        <v>20</v>
      </c>
      <c r="B4" s="1" t="s">
        <v>21</v>
      </c>
      <c r="C4" s="1">
        <v>843001.29</v>
      </c>
      <c r="D4" s="1">
        <v>757542.45</v>
      </c>
      <c r="E4" s="1">
        <v>30</v>
      </c>
      <c r="F4" s="1">
        <v>-30</v>
      </c>
      <c r="G4" s="1">
        <v>0</v>
      </c>
      <c r="H4" s="1">
        <v>0</v>
      </c>
      <c r="I4" s="1">
        <v>-757542.45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-30</v>
      </c>
      <c r="P4" s="1">
        <v>-757542.45</v>
      </c>
      <c r="Q4" s="1">
        <v>0</v>
      </c>
    </row>
    <row r="5" spans="1:17" x14ac:dyDescent="0.3">
      <c r="A5" s="1" t="s">
        <v>22</v>
      </c>
      <c r="B5" s="1" t="s">
        <v>18</v>
      </c>
      <c r="C5" s="1">
        <v>505662.63</v>
      </c>
      <c r="D5" s="1">
        <v>267631.84999999998</v>
      </c>
      <c r="E5" s="1">
        <v>1</v>
      </c>
      <c r="F5" s="1">
        <v>0</v>
      </c>
      <c r="G5" s="1">
        <v>1</v>
      </c>
      <c r="H5" s="1">
        <v>267631.84999999998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267631.84999999998</v>
      </c>
      <c r="O5" s="1">
        <v>0</v>
      </c>
      <c r="P5" s="1">
        <v>0</v>
      </c>
      <c r="Q5" s="1">
        <v>0</v>
      </c>
    </row>
    <row r="6" spans="1:17" x14ac:dyDescent="0.3">
      <c r="A6" s="1" t="s">
        <v>23</v>
      </c>
      <c r="B6" s="1" t="s">
        <v>24</v>
      </c>
      <c r="C6" s="1">
        <v>541609.43000000005</v>
      </c>
      <c r="D6" s="1">
        <v>660637.25</v>
      </c>
      <c r="E6" s="1">
        <v>291</v>
      </c>
      <c r="F6" s="1">
        <v>0</v>
      </c>
      <c r="G6" s="1">
        <v>291</v>
      </c>
      <c r="H6" s="1">
        <v>660637.25</v>
      </c>
      <c r="I6" s="1">
        <v>0</v>
      </c>
      <c r="J6" s="1">
        <v>229</v>
      </c>
      <c r="K6" s="1">
        <v>165</v>
      </c>
      <c r="L6" s="1">
        <v>26796.9</v>
      </c>
      <c r="M6" s="1">
        <v>126</v>
      </c>
      <c r="N6" s="1">
        <v>633840.35</v>
      </c>
      <c r="O6" s="1">
        <v>-165</v>
      </c>
      <c r="P6" s="1">
        <v>-26796.9</v>
      </c>
      <c r="Q6" s="1">
        <v>38</v>
      </c>
    </row>
    <row r="7" spans="1:17" x14ac:dyDescent="0.3">
      <c r="A7" s="1" t="s">
        <v>25</v>
      </c>
      <c r="B7" s="1" t="s">
        <v>26</v>
      </c>
      <c r="C7" s="1">
        <v>4425393.3</v>
      </c>
      <c r="D7" s="1">
        <v>4079564.13</v>
      </c>
      <c r="E7" s="1">
        <v>255</v>
      </c>
      <c r="F7" s="1">
        <v>0</v>
      </c>
      <c r="G7" s="1">
        <v>255</v>
      </c>
      <c r="H7" s="1">
        <v>4079564.13</v>
      </c>
      <c r="I7" s="1">
        <v>0</v>
      </c>
      <c r="J7" s="1">
        <v>78</v>
      </c>
      <c r="K7" s="1">
        <v>22</v>
      </c>
      <c r="L7" s="1">
        <v>15119.9</v>
      </c>
      <c r="M7" s="1">
        <v>233</v>
      </c>
      <c r="N7" s="1">
        <v>4064444.23</v>
      </c>
      <c r="O7" s="1">
        <v>-22</v>
      </c>
      <c r="P7" s="1">
        <v>-15119.9</v>
      </c>
      <c r="Q7" s="1">
        <v>2</v>
      </c>
    </row>
    <row r="8" spans="1:17" x14ac:dyDescent="0.3">
      <c r="A8" s="1" t="s">
        <v>27</v>
      </c>
      <c r="B8" s="1" t="s">
        <v>21</v>
      </c>
      <c r="C8" s="1">
        <v>2360441.7999999998</v>
      </c>
      <c r="D8" s="1">
        <v>2295015.7200000002</v>
      </c>
      <c r="E8" s="1">
        <v>828</v>
      </c>
      <c r="F8" s="1">
        <v>151</v>
      </c>
      <c r="G8" s="1">
        <v>979</v>
      </c>
      <c r="H8" s="1">
        <v>2455807.92</v>
      </c>
      <c r="I8" s="2" t="s">
        <v>28</v>
      </c>
      <c r="J8" s="1">
        <v>745</v>
      </c>
      <c r="K8" s="1">
        <v>588</v>
      </c>
      <c r="L8" s="1">
        <v>195895.45</v>
      </c>
      <c r="M8" s="1">
        <v>391</v>
      </c>
      <c r="N8" s="1">
        <v>2259912.4700000002</v>
      </c>
      <c r="O8" s="1">
        <v>-437</v>
      </c>
      <c r="P8" s="1">
        <v>-35103.25</v>
      </c>
      <c r="Q8" s="1">
        <v>29</v>
      </c>
    </row>
    <row r="9" spans="1:17" x14ac:dyDescent="0.3">
      <c r="A9" s="1" t="s">
        <v>29</v>
      </c>
      <c r="B9" s="1" t="s">
        <v>18</v>
      </c>
      <c r="C9" s="1">
        <v>1391005.9</v>
      </c>
      <c r="D9" s="1">
        <v>240890.58</v>
      </c>
      <c r="E9" s="1">
        <v>9</v>
      </c>
      <c r="F9" s="1">
        <v>0</v>
      </c>
      <c r="G9" s="1">
        <v>9</v>
      </c>
      <c r="H9" s="2" t="s">
        <v>30</v>
      </c>
      <c r="I9" s="1">
        <v>0</v>
      </c>
      <c r="J9" s="1">
        <v>7</v>
      </c>
      <c r="K9" s="1">
        <v>1</v>
      </c>
      <c r="L9" s="1">
        <v>0</v>
      </c>
      <c r="M9" s="1">
        <v>8</v>
      </c>
      <c r="N9" s="2" t="s">
        <v>30</v>
      </c>
      <c r="O9" s="1">
        <v>-1</v>
      </c>
      <c r="P9" s="1">
        <v>0</v>
      </c>
      <c r="Q9" s="1">
        <v>0</v>
      </c>
    </row>
    <row r="10" spans="1:17" x14ac:dyDescent="0.3">
      <c r="A10" s="1" t="s">
        <v>31</v>
      </c>
      <c r="B10" s="1" t="s">
        <v>26</v>
      </c>
      <c r="C10" s="1">
        <v>2652431.2799999998</v>
      </c>
      <c r="D10" s="1">
        <v>2540597.42</v>
      </c>
      <c r="E10" s="1">
        <v>152</v>
      </c>
      <c r="F10" s="1">
        <v>0</v>
      </c>
      <c r="G10" s="1">
        <v>152</v>
      </c>
      <c r="H10" s="1">
        <v>2540597.42</v>
      </c>
      <c r="I10" s="1">
        <v>0</v>
      </c>
      <c r="J10" s="1">
        <v>29</v>
      </c>
      <c r="K10" s="1">
        <v>12</v>
      </c>
      <c r="L10" s="1">
        <v>13136</v>
      </c>
      <c r="M10" s="1">
        <v>140</v>
      </c>
      <c r="N10" s="1">
        <v>2527461.42</v>
      </c>
      <c r="O10" s="1">
        <v>-12</v>
      </c>
      <c r="P10" s="1">
        <v>-13136</v>
      </c>
      <c r="Q10" s="1">
        <v>0</v>
      </c>
    </row>
    <row r="11" spans="1:17" x14ac:dyDescent="0.3">
      <c r="A11" s="1" t="s">
        <v>32</v>
      </c>
      <c r="B11" s="1" t="s">
        <v>18</v>
      </c>
      <c r="C11" s="1">
        <v>11120642.92</v>
      </c>
      <c r="D11" s="1">
        <v>8828535.4100000001</v>
      </c>
      <c r="E11" s="1">
        <v>24</v>
      </c>
      <c r="F11" s="1">
        <v>0</v>
      </c>
      <c r="G11" s="1">
        <v>24</v>
      </c>
      <c r="H11" s="1">
        <v>8828535.4100000001</v>
      </c>
      <c r="I11" s="1">
        <v>0</v>
      </c>
      <c r="J11" s="1">
        <v>4</v>
      </c>
      <c r="K11" s="1">
        <v>0</v>
      </c>
      <c r="L11" s="1">
        <v>0</v>
      </c>
      <c r="M11" s="1">
        <v>24</v>
      </c>
      <c r="N11" s="1">
        <v>8828535.4100000001</v>
      </c>
      <c r="O11" s="1">
        <v>0</v>
      </c>
      <c r="P11" s="1">
        <v>0</v>
      </c>
      <c r="Q11" s="1">
        <v>0</v>
      </c>
    </row>
    <row r="12" spans="1:17" x14ac:dyDescent="0.3">
      <c r="A12" s="1" t="s">
        <v>33</v>
      </c>
      <c r="B12" s="1" t="s">
        <v>21</v>
      </c>
      <c r="C12" s="1">
        <v>2961007.03</v>
      </c>
      <c r="D12" s="1">
        <v>2549735.2400000002</v>
      </c>
      <c r="E12" s="1">
        <v>892</v>
      </c>
      <c r="F12" s="1">
        <v>-58</v>
      </c>
      <c r="G12" s="1">
        <v>834</v>
      </c>
      <c r="H12" s="1">
        <v>2151355.25</v>
      </c>
      <c r="I12" s="1">
        <v>-398379.99</v>
      </c>
      <c r="J12" s="1">
        <v>603</v>
      </c>
      <c r="K12" s="1">
        <v>482</v>
      </c>
      <c r="L12" s="1">
        <v>126048.46</v>
      </c>
      <c r="M12" s="1">
        <v>352</v>
      </c>
      <c r="N12" s="1">
        <v>2025306.79</v>
      </c>
      <c r="O12" s="1">
        <v>-540</v>
      </c>
      <c r="P12" s="1">
        <v>-524428.44999999995</v>
      </c>
      <c r="Q12" s="1">
        <v>35</v>
      </c>
    </row>
    <row r="13" spans="1:17" x14ac:dyDescent="0.3">
      <c r="A13" s="1" t="s">
        <v>34</v>
      </c>
      <c r="B13" s="1" t="s">
        <v>18</v>
      </c>
      <c r="C13" s="1">
        <v>432386.7</v>
      </c>
      <c r="D13" s="1">
        <v>477695.22</v>
      </c>
      <c r="E13" s="1">
        <v>74</v>
      </c>
      <c r="F13" s="1">
        <v>0</v>
      </c>
      <c r="G13" s="1">
        <v>74</v>
      </c>
      <c r="H13" s="2" t="s">
        <v>35</v>
      </c>
      <c r="I13" s="1">
        <v>0</v>
      </c>
      <c r="J13" s="1">
        <v>46</v>
      </c>
      <c r="K13" s="1">
        <v>10</v>
      </c>
      <c r="L13" s="1">
        <v>1224.81</v>
      </c>
      <c r="M13" s="1">
        <v>64</v>
      </c>
      <c r="N13" s="2" t="s">
        <v>36</v>
      </c>
      <c r="O13" s="1">
        <v>-10</v>
      </c>
      <c r="P13" s="1">
        <v>-1224.81</v>
      </c>
      <c r="Q13" s="1">
        <v>3</v>
      </c>
    </row>
    <row r="14" spans="1:17" x14ac:dyDescent="0.3">
      <c r="A14" s="1" t="s">
        <v>37</v>
      </c>
      <c r="B14" s="1" t="s">
        <v>26</v>
      </c>
      <c r="C14" s="1">
        <v>1421694.73</v>
      </c>
      <c r="D14" s="1">
        <v>1617986.54</v>
      </c>
      <c r="E14" s="1">
        <v>174</v>
      </c>
      <c r="F14" s="1">
        <v>0</v>
      </c>
      <c r="G14" s="1">
        <v>174</v>
      </c>
      <c r="H14" s="1">
        <v>1617986.54</v>
      </c>
      <c r="I14" s="1">
        <v>0</v>
      </c>
      <c r="J14" s="1">
        <v>74</v>
      </c>
      <c r="K14" s="1">
        <v>53</v>
      </c>
      <c r="L14" s="1">
        <v>28271.98</v>
      </c>
      <c r="M14" s="1">
        <v>121</v>
      </c>
      <c r="N14" s="1">
        <v>1589714.56</v>
      </c>
      <c r="O14" s="1">
        <v>-53</v>
      </c>
      <c r="P14" s="1">
        <v>-28271.98</v>
      </c>
      <c r="Q14" s="1">
        <v>3</v>
      </c>
    </row>
    <row r="15" spans="1:17" x14ac:dyDescent="0.3">
      <c r="A15" s="1" t="s">
        <v>38</v>
      </c>
      <c r="B15" s="1" t="s">
        <v>26</v>
      </c>
      <c r="C15" s="1">
        <v>2007370.07</v>
      </c>
      <c r="D15" s="1">
        <v>2140844.62</v>
      </c>
      <c r="E15" s="1">
        <v>168</v>
      </c>
      <c r="F15" s="1">
        <v>0</v>
      </c>
      <c r="G15" s="1">
        <v>168</v>
      </c>
      <c r="H15" s="1">
        <v>2140844.62</v>
      </c>
      <c r="I15" s="1">
        <v>0</v>
      </c>
      <c r="J15" s="1">
        <v>42</v>
      </c>
      <c r="K15" s="1">
        <v>26</v>
      </c>
      <c r="L15" s="1">
        <v>22175.34</v>
      </c>
      <c r="M15" s="1">
        <v>142</v>
      </c>
      <c r="N15" s="1">
        <v>2118669.2799999998</v>
      </c>
      <c r="O15" s="1">
        <v>-26</v>
      </c>
      <c r="P15" s="1">
        <v>-22175.34</v>
      </c>
      <c r="Q15" s="1">
        <v>4</v>
      </c>
    </row>
    <row r="16" spans="1:17" x14ac:dyDescent="0.3">
      <c r="A16" s="1" t="s">
        <v>39</v>
      </c>
      <c r="B16" s="1" t="s">
        <v>18</v>
      </c>
      <c r="C16" s="1">
        <v>228969.92</v>
      </c>
      <c r="D16" s="1">
        <v>166075.99</v>
      </c>
      <c r="E16" s="1">
        <v>72</v>
      </c>
      <c r="F16" s="1">
        <v>0</v>
      </c>
      <c r="G16" s="1">
        <v>72</v>
      </c>
      <c r="H16" s="1">
        <v>166075.99</v>
      </c>
      <c r="I16" s="1">
        <v>0</v>
      </c>
      <c r="J16" s="1">
        <v>53</v>
      </c>
      <c r="K16" s="1">
        <v>36</v>
      </c>
      <c r="L16" s="1">
        <v>6522.05</v>
      </c>
      <c r="M16" s="1">
        <v>36</v>
      </c>
      <c r="N16" s="1">
        <v>159553.94</v>
      </c>
      <c r="O16" s="1">
        <v>-36</v>
      </c>
      <c r="P16" s="1">
        <v>-6522.05</v>
      </c>
      <c r="Q16" s="1">
        <v>8</v>
      </c>
    </row>
    <row r="17" spans="1:17" x14ac:dyDescent="0.3">
      <c r="A17" s="1" t="s">
        <v>40</v>
      </c>
      <c r="B17" s="1" t="s">
        <v>18</v>
      </c>
      <c r="C17" s="1">
        <v>4457476.6500000004</v>
      </c>
      <c r="D17" s="1">
        <v>4275853.54</v>
      </c>
      <c r="E17" s="1">
        <v>817</v>
      </c>
      <c r="F17" s="1">
        <v>0</v>
      </c>
      <c r="G17" s="1">
        <v>817</v>
      </c>
      <c r="H17" s="1">
        <v>4275853.54</v>
      </c>
      <c r="I17" s="1">
        <v>0</v>
      </c>
      <c r="J17" s="1">
        <v>530</v>
      </c>
      <c r="K17" s="1">
        <v>413</v>
      </c>
      <c r="L17" s="1">
        <v>149806.14000000001</v>
      </c>
      <c r="M17" s="1">
        <v>404</v>
      </c>
      <c r="N17" s="1">
        <v>4126047.4</v>
      </c>
      <c r="O17" s="1">
        <v>-413</v>
      </c>
      <c r="P17" s="1">
        <v>-149806.14000000001</v>
      </c>
      <c r="Q17" s="1">
        <v>9</v>
      </c>
    </row>
    <row r="18" spans="1:17" x14ac:dyDescent="0.3">
      <c r="A18" s="1" t="s">
        <v>41</v>
      </c>
      <c r="B18" s="1" t="s">
        <v>18</v>
      </c>
      <c r="C18" s="1">
        <v>0</v>
      </c>
      <c r="D18" s="1">
        <v>0</v>
      </c>
      <c r="E18" s="1">
        <v>7</v>
      </c>
      <c r="F18" s="1">
        <v>0</v>
      </c>
      <c r="G18" s="1">
        <v>7</v>
      </c>
      <c r="H18" s="1">
        <v>0</v>
      </c>
      <c r="I18" s="1">
        <v>0</v>
      </c>
      <c r="J18" s="1">
        <v>7</v>
      </c>
      <c r="K18" s="1">
        <v>7</v>
      </c>
      <c r="L18" s="1">
        <v>0</v>
      </c>
      <c r="M18" s="1">
        <v>0</v>
      </c>
      <c r="N18" s="1">
        <v>0</v>
      </c>
      <c r="O18" s="1">
        <v>-7</v>
      </c>
      <c r="P18" s="1">
        <v>0</v>
      </c>
      <c r="Q18" s="1">
        <v>0</v>
      </c>
    </row>
    <row r="19" spans="1:17" x14ac:dyDescent="0.3">
      <c r="A19" s="1" t="s">
        <v>42</v>
      </c>
      <c r="B19" s="1" t="s">
        <v>26</v>
      </c>
      <c r="C19" s="1">
        <v>1310464.53</v>
      </c>
      <c r="D19" s="1">
        <v>1238417.29</v>
      </c>
      <c r="E19" s="1">
        <v>129</v>
      </c>
      <c r="F19" s="1">
        <v>0</v>
      </c>
      <c r="G19" s="1">
        <v>129</v>
      </c>
      <c r="H19" s="1">
        <v>1238417.29</v>
      </c>
      <c r="I19" s="1">
        <v>0</v>
      </c>
      <c r="J19" s="1">
        <v>51</v>
      </c>
      <c r="K19" s="1">
        <v>28</v>
      </c>
      <c r="L19" s="1">
        <v>11024.8</v>
      </c>
      <c r="M19" s="1">
        <v>101</v>
      </c>
      <c r="N19" s="1">
        <v>1227392.49</v>
      </c>
      <c r="O19" s="1">
        <v>-28</v>
      </c>
      <c r="P19" s="1">
        <v>-11024.8</v>
      </c>
      <c r="Q19" s="1">
        <v>4</v>
      </c>
    </row>
    <row r="20" spans="1:17" x14ac:dyDescent="0.3">
      <c r="A20" s="1" t="s">
        <v>43</v>
      </c>
      <c r="B20" s="1" t="s">
        <v>21</v>
      </c>
      <c r="C20" s="1">
        <v>69873.41</v>
      </c>
      <c r="D20" s="1">
        <v>449181.01</v>
      </c>
      <c r="E20" s="1">
        <v>1733</v>
      </c>
      <c r="F20" s="1">
        <v>0</v>
      </c>
      <c r="G20" s="1">
        <v>1733</v>
      </c>
      <c r="H20" s="1">
        <v>449181.01</v>
      </c>
      <c r="I20" s="1">
        <v>0</v>
      </c>
      <c r="J20" s="1">
        <v>1675</v>
      </c>
      <c r="K20" s="1">
        <v>1441</v>
      </c>
      <c r="L20" s="1">
        <v>74772.87</v>
      </c>
      <c r="M20" s="1">
        <v>292</v>
      </c>
      <c r="N20" s="1">
        <v>374408.14</v>
      </c>
      <c r="O20" s="1">
        <v>-1441</v>
      </c>
      <c r="P20" s="1">
        <v>-74772.87</v>
      </c>
      <c r="Q20" s="1">
        <v>31</v>
      </c>
    </row>
    <row r="21" spans="1:17" x14ac:dyDescent="0.3">
      <c r="A21" s="1" t="s">
        <v>44</v>
      </c>
      <c r="B21" s="1" t="s">
        <v>18</v>
      </c>
      <c r="C21" s="1">
        <v>233747.99</v>
      </c>
      <c r="D21" s="1">
        <v>258135.61</v>
      </c>
      <c r="E21" s="1">
        <v>61</v>
      </c>
      <c r="F21" s="1">
        <v>0</v>
      </c>
      <c r="G21" s="1">
        <v>61</v>
      </c>
      <c r="H21" s="1">
        <v>258135.61</v>
      </c>
      <c r="I21" s="1">
        <v>0</v>
      </c>
      <c r="J21" s="1">
        <v>48</v>
      </c>
      <c r="K21" s="1">
        <v>28</v>
      </c>
      <c r="L21" s="1">
        <v>4340.2</v>
      </c>
      <c r="M21" s="1">
        <v>33</v>
      </c>
      <c r="N21" s="1">
        <v>253795.41</v>
      </c>
      <c r="O21" s="1">
        <v>-28</v>
      </c>
      <c r="P21" s="1">
        <v>-4340.2</v>
      </c>
      <c r="Q21" s="1">
        <v>9</v>
      </c>
    </row>
    <row r="22" spans="1:17" x14ac:dyDescent="0.3">
      <c r="A22" s="1" t="s">
        <v>45</v>
      </c>
      <c r="B22" s="1" t="s">
        <v>18</v>
      </c>
      <c r="C22" s="1">
        <v>8506168.7899999991</v>
      </c>
      <c r="D22" s="1">
        <v>8864631.5899999999</v>
      </c>
      <c r="E22" s="1">
        <v>41</v>
      </c>
      <c r="F22" s="1">
        <v>0</v>
      </c>
      <c r="G22" s="1">
        <v>41</v>
      </c>
      <c r="H22" s="1">
        <v>8864631.5899999999</v>
      </c>
      <c r="I22" s="1">
        <v>0</v>
      </c>
      <c r="J22" s="1">
        <v>21</v>
      </c>
      <c r="K22" s="1">
        <v>1</v>
      </c>
      <c r="L22" s="1">
        <v>0</v>
      </c>
      <c r="M22" s="1">
        <v>40</v>
      </c>
      <c r="N22" s="1">
        <v>8864631.5899999999</v>
      </c>
      <c r="O22" s="1">
        <v>-1</v>
      </c>
      <c r="P22" s="1">
        <v>0</v>
      </c>
      <c r="Q22" s="1">
        <v>0</v>
      </c>
    </row>
    <row r="23" spans="1:17" x14ac:dyDescent="0.3">
      <c r="A23" s="1" t="s">
        <v>46</v>
      </c>
      <c r="B23" s="1" t="s">
        <v>21</v>
      </c>
      <c r="C23" s="1">
        <v>1909418.67</v>
      </c>
      <c r="D23" s="1">
        <v>1854954.57</v>
      </c>
      <c r="E23" s="1">
        <v>866</v>
      </c>
      <c r="F23" s="1">
        <v>91</v>
      </c>
      <c r="G23" s="1">
        <v>957</v>
      </c>
      <c r="H23" s="1">
        <v>2094988.12</v>
      </c>
      <c r="I23" s="2" t="s">
        <v>47</v>
      </c>
      <c r="J23" s="1">
        <v>738</v>
      </c>
      <c r="K23" s="1">
        <v>606</v>
      </c>
      <c r="L23" s="1">
        <v>212383.53</v>
      </c>
      <c r="M23" s="1">
        <v>351</v>
      </c>
      <c r="N23" s="1">
        <v>1882604.59</v>
      </c>
      <c r="O23" s="1">
        <v>-515</v>
      </c>
      <c r="P23" s="2" t="s">
        <v>48</v>
      </c>
      <c r="Q23" s="1">
        <v>48</v>
      </c>
    </row>
    <row r="24" spans="1:17" x14ac:dyDescent="0.3">
      <c r="A24" s="1" t="s">
        <v>49</v>
      </c>
      <c r="B24" s="1" t="s">
        <v>21</v>
      </c>
      <c r="C24" s="1">
        <v>0</v>
      </c>
      <c r="D24" s="1">
        <v>55101.1</v>
      </c>
      <c r="E24" s="1">
        <v>168</v>
      </c>
      <c r="F24" s="1">
        <v>0</v>
      </c>
      <c r="G24" s="1">
        <v>168</v>
      </c>
      <c r="H24" s="1">
        <v>55101.1</v>
      </c>
      <c r="I24" s="1">
        <v>0</v>
      </c>
      <c r="J24" s="1">
        <v>163</v>
      </c>
      <c r="K24" s="1">
        <v>7</v>
      </c>
      <c r="L24" s="1">
        <v>0</v>
      </c>
      <c r="M24" s="1">
        <v>161</v>
      </c>
      <c r="N24" s="1">
        <v>55101.1</v>
      </c>
      <c r="O24" s="1">
        <v>-7</v>
      </c>
      <c r="P24" s="1">
        <v>0</v>
      </c>
      <c r="Q24" s="1">
        <v>101</v>
      </c>
    </row>
    <row r="25" spans="1:17" x14ac:dyDescent="0.3">
      <c r="A25" s="1" t="s">
        <v>50</v>
      </c>
      <c r="B25" s="1" t="s">
        <v>18</v>
      </c>
      <c r="C25" s="1">
        <v>308444.59999999998</v>
      </c>
      <c r="D25" s="1">
        <v>166600.23000000001</v>
      </c>
      <c r="E25" s="1">
        <v>86</v>
      </c>
      <c r="F25" s="1">
        <v>0</v>
      </c>
      <c r="G25" s="1">
        <v>86</v>
      </c>
      <c r="H25" s="2" t="s">
        <v>51</v>
      </c>
      <c r="I25" s="1">
        <v>0</v>
      </c>
      <c r="J25" s="1">
        <v>71</v>
      </c>
      <c r="K25" s="1">
        <v>1</v>
      </c>
      <c r="L25" s="1">
        <v>0</v>
      </c>
      <c r="M25" s="1">
        <v>85</v>
      </c>
      <c r="N25" s="2" t="s">
        <v>51</v>
      </c>
      <c r="O25" s="1">
        <v>-1</v>
      </c>
      <c r="P25" s="1">
        <v>0</v>
      </c>
      <c r="Q25" s="1">
        <v>0</v>
      </c>
    </row>
    <row r="26" spans="1:17" x14ac:dyDescent="0.3">
      <c r="A26" s="1" t="s">
        <v>52</v>
      </c>
      <c r="B26" s="1" t="s">
        <v>18</v>
      </c>
      <c r="C26" s="1">
        <v>1286220.32</v>
      </c>
      <c r="D26" s="1">
        <v>1358835.12</v>
      </c>
      <c r="E26" s="1">
        <v>272</v>
      </c>
      <c r="F26" s="1">
        <v>0</v>
      </c>
      <c r="G26" s="1">
        <v>272</v>
      </c>
      <c r="H26" s="2" t="s">
        <v>53</v>
      </c>
      <c r="I26" s="1">
        <v>0</v>
      </c>
      <c r="J26" s="1">
        <v>172</v>
      </c>
      <c r="K26" s="1">
        <v>151</v>
      </c>
      <c r="L26" s="1">
        <v>29874</v>
      </c>
      <c r="M26" s="1">
        <v>121</v>
      </c>
      <c r="N26" s="1">
        <v>1328961.1200000001</v>
      </c>
      <c r="O26" s="1">
        <v>-151</v>
      </c>
      <c r="P26" s="1">
        <v>-29874</v>
      </c>
      <c r="Q26" s="1">
        <v>8</v>
      </c>
    </row>
    <row r="27" spans="1:17" x14ac:dyDescent="0.3">
      <c r="A27" s="1" t="s">
        <v>54</v>
      </c>
      <c r="B27" s="1" t="s">
        <v>26</v>
      </c>
      <c r="C27" s="1">
        <v>2997019.25</v>
      </c>
      <c r="D27" s="1">
        <v>2884935.27</v>
      </c>
      <c r="E27" s="1">
        <v>207</v>
      </c>
      <c r="F27" s="1">
        <v>0</v>
      </c>
      <c r="G27" s="1">
        <v>207</v>
      </c>
      <c r="H27" s="1">
        <v>2884935.27</v>
      </c>
      <c r="I27" s="1">
        <v>0</v>
      </c>
      <c r="J27" s="1">
        <v>68</v>
      </c>
      <c r="K27" s="1">
        <v>33</v>
      </c>
      <c r="L27" s="1">
        <v>24553.18</v>
      </c>
      <c r="M27" s="1">
        <v>174</v>
      </c>
      <c r="N27" s="1">
        <v>2860382.09</v>
      </c>
      <c r="O27" s="1">
        <v>-33</v>
      </c>
      <c r="P27" s="1">
        <v>-24553.18</v>
      </c>
      <c r="Q27" s="1">
        <v>0</v>
      </c>
    </row>
    <row r="28" spans="1:17" x14ac:dyDescent="0.3">
      <c r="A28" s="1" t="s">
        <v>55</v>
      </c>
      <c r="B28" s="1" t="s">
        <v>18</v>
      </c>
      <c r="C28" s="1">
        <v>80655.5</v>
      </c>
      <c r="D28" s="1">
        <v>125930.53</v>
      </c>
      <c r="E28" s="1">
        <v>2</v>
      </c>
      <c r="F28" s="1">
        <v>0</v>
      </c>
      <c r="G28" s="1">
        <v>2</v>
      </c>
      <c r="H28" s="1">
        <v>125930.53</v>
      </c>
      <c r="I28" s="1">
        <v>0</v>
      </c>
      <c r="J28" s="1">
        <v>1</v>
      </c>
      <c r="K28" s="1">
        <v>0</v>
      </c>
      <c r="L28" s="1">
        <v>0</v>
      </c>
      <c r="M28" s="1">
        <v>2</v>
      </c>
      <c r="N28" s="1">
        <v>125930.53</v>
      </c>
      <c r="O28" s="1">
        <v>0</v>
      </c>
      <c r="P28" s="1">
        <v>0</v>
      </c>
      <c r="Q28" s="1">
        <v>0</v>
      </c>
    </row>
    <row r="29" spans="1:17" x14ac:dyDescent="0.3">
      <c r="A29" s="1" t="s">
        <v>56</v>
      </c>
      <c r="B29" s="1" t="s">
        <v>21</v>
      </c>
      <c r="C29" s="1">
        <v>2556804.9</v>
      </c>
      <c r="D29" s="1">
        <v>2154258.2200000002</v>
      </c>
      <c r="E29" s="1">
        <v>860</v>
      </c>
      <c r="F29" s="1">
        <v>-10</v>
      </c>
      <c r="G29" s="1">
        <v>850</v>
      </c>
      <c r="H29" s="1">
        <v>2196666.2400000002</v>
      </c>
      <c r="I29" s="2" t="s">
        <v>57</v>
      </c>
      <c r="J29" s="1">
        <v>609</v>
      </c>
      <c r="K29" s="1">
        <v>485</v>
      </c>
      <c r="L29" s="1">
        <v>156360.32999999999</v>
      </c>
      <c r="M29" s="1">
        <v>365</v>
      </c>
      <c r="N29" s="1">
        <v>2040305.91</v>
      </c>
      <c r="O29" s="1">
        <v>-495</v>
      </c>
      <c r="P29" s="1">
        <v>-113952.31</v>
      </c>
      <c r="Q29" s="1">
        <v>33</v>
      </c>
    </row>
    <row r="30" spans="1:17" x14ac:dyDescent="0.3">
      <c r="A30" s="1" t="s">
        <v>58</v>
      </c>
      <c r="B30" s="1" t="s">
        <v>21</v>
      </c>
      <c r="C30" s="1">
        <v>2180626.56</v>
      </c>
      <c r="D30" s="1">
        <v>2169759.1800000002</v>
      </c>
      <c r="E30" s="1">
        <v>895</v>
      </c>
      <c r="F30" s="1">
        <v>436</v>
      </c>
      <c r="G30" s="1">
        <v>1331</v>
      </c>
      <c r="H30" s="1">
        <v>2949797.28</v>
      </c>
      <c r="I30" s="2" t="s">
        <v>59</v>
      </c>
      <c r="J30" s="1">
        <v>1016</v>
      </c>
      <c r="K30" s="1">
        <v>860</v>
      </c>
      <c r="L30" s="1">
        <v>229360.12</v>
      </c>
      <c r="M30" s="1">
        <v>471</v>
      </c>
      <c r="N30" s="1">
        <v>2720437.16</v>
      </c>
      <c r="O30" s="1">
        <v>-424</v>
      </c>
      <c r="P30" s="1">
        <v>550677.98</v>
      </c>
      <c r="Q30" s="1">
        <v>48</v>
      </c>
    </row>
    <row r="31" spans="1:17" x14ac:dyDescent="0.3">
      <c r="A31" s="1" t="s">
        <v>60</v>
      </c>
      <c r="B31" s="1" t="s">
        <v>18</v>
      </c>
      <c r="C31" s="1">
        <v>1725</v>
      </c>
      <c r="D31" s="1">
        <v>1310</v>
      </c>
      <c r="E31" s="1">
        <v>1</v>
      </c>
      <c r="F31" s="1">
        <v>0</v>
      </c>
      <c r="G31" s="1">
        <v>1</v>
      </c>
      <c r="H31" s="1">
        <v>1310</v>
      </c>
      <c r="I31" s="1">
        <v>0</v>
      </c>
      <c r="J31" s="1">
        <v>1</v>
      </c>
      <c r="K31" s="1">
        <v>1</v>
      </c>
      <c r="L31" s="1">
        <v>1310</v>
      </c>
      <c r="M31" s="1">
        <v>0</v>
      </c>
      <c r="N31" s="1">
        <v>0</v>
      </c>
      <c r="O31" s="1">
        <v>-1</v>
      </c>
      <c r="P31" s="1">
        <v>-1310</v>
      </c>
      <c r="Q31" s="1">
        <v>0</v>
      </c>
    </row>
    <row r="32" spans="1:17" x14ac:dyDescent="0.3">
      <c r="A32" s="1" t="s">
        <v>61</v>
      </c>
      <c r="B32" s="1" t="s">
        <v>18</v>
      </c>
      <c r="C32" s="1">
        <v>199987.48</v>
      </c>
      <c r="D32" s="1">
        <v>234117.19</v>
      </c>
      <c r="E32" s="1">
        <v>100</v>
      </c>
      <c r="F32" s="1">
        <v>0</v>
      </c>
      <c r="G32" s="1">
        <v>100</v>
      </c>
      <c r="H32" s="1">
        <v>234117.19</v>
      </c>
      <c r="I32" s="1">
        <v>0</v>
      </c>
      <c r="J32" s="1">
        <v>69</v>
      </c>
      <c r="K32" s="1">
        <v>49</v>
      </c>
      <c r="L32" s="1">
        <v>3793</v>
      </c>
      <c r="M32" s="1">
        <v>51</v>
      </c>
      <c r="N32" s="1">
        <v>230324.19</v>
      </c>
      <c r="O32" s="1">
        <v>-49</v>
      </c>
      <c r="P32" s="1">
        <v>-3793</v>
      </c>
      <c r="Q32" s="1">
        <v>12</v>
      </c>
    </row>
    <row r="33" spans="1:17" x14ac:dyDescent="0.3">
      <c r="A33" s="1" t="s">
        <v>62</v>
      </c>
      <c r="B33" s="1" t="s">
        <v>26</v>
      </c>
      <c r="C33" s="1">
        <v>1678063.5</v>
      </c>
      <c r="D33" s="1">
        <v>1623756.33</v>
      </c>
      <c r="E33" s="1">
        <v>214</v>
      </c>
      <c r="F33" s="1">
        <v>0</v>
      </c>
      <c r="G33" s="1">
        <v>214</v>
      </c>
      <c r="H33" s="1">
        <v>1623756.33</v>
      </c>
      <c r="I33" s="1">
        <v>0</v>
      </c>
      <c r="J33" s="1">
        <v>113</v>
      </c>
      <c r="K33" s="1">
        <v>69</v>
      </c>
      <c r="L33" s="1">
        <v>32013.52</v>
      </c>
      <c r="M33" s="1">
        <v>145</v>
      </c>
      <c r="N33" s="1">
        <v>1591742.81</v>
      </c>
      <c r="O33" s="1">
        <v>-69</v>
      </c>
      <c r="P33" s="1">
        <v>-32013.52</v>
      </c>
      <c r="Q33" s="1">
        <v>0</v>
      </c>
    </row>
    <row r="34" spans="1:17" x14ac:dyDescent="0.3">
      <c r="A34" s="1" t="s">
        <v>63</v>
      </c>
      <c r="B34" s="1" t="s">
        <v>26</v>
      </c>
      <c r="C34" s="1">
        <v>3362816.28</v>
      </c>
      <c r="D34" s="1">
        <v>3089300.76</v>
      </c>
      <c r="E34" s="1">
        <v>321</v>
      </c>
      <c r="F34" s="1">
        <v>0</v>
      </c>
      <c r="G34" s="1">
        <v>321</v>
      </c>
      <c r="H34" s="2" t="s">
        <v>64</v>
      </c>
      <c r="I34" s="1">
        <v>0</v>
      </c>
      <c r="J34" s="1">
        <v>153</v>
      </c>
      <c r="K34" s="1">
        <v>117</v>
      </c>
      <c r="L34" s="1">
        <v>45970.22</v>
      </c>
      <c r="M34" s="1">
        <v>204</v>
      </c>
      <c r="N34" s="1">
        <v>3043330.54</v>
      </c>
      <c r="O34" s="1">
        <v>-117</v>
      </c>
      <c r="P34" s="1">
        <v>-45970.22</v>
      </c>
      <c r="Q34" s="1">
        <v>3</v>
      </c>
    </row>
    <row r="35" spans="1:17" x14ac:dyDescent="0.3">
      <c r="A35" s="1" t="s">
        <v>65</v>
      </c>
      <c r="B35" s="1" t="s">
        <v>21</v>
      </c>
      <c r="C35" s="1">
        <v>0</v>
      </c>
      <c r="D35" s="1">
        <v>55119.6</v>
      </c>
      <c r="E35" s="1">
        <v>142</v>
      </c>
      <c r="F35" s="1">
        <v>0</v>
      </c>
      <c r="G35" s="1">
        <v>142</v>
      </c>
      <c r="H35" s="1">
        <v>55119.6</v>
      </c>
      <c r="I35" s="1">
        <v>0</v>
      </c>
      <c r="J35" s="1">
        <v>138</v>
      </c>
      <c r="K35" s="1">
        <v>3</v>
      </c>
      <c r="L35" s="1">
        <v>0</v>
      </c>
      <c r="M35" s="1">
        <v>139</v>
      </c>
      <c r="N35" s="1">
        <v>55119.6</v>
      </c>
      <c r="O35" s="1">
        <v>-3</v>
      </c>
      <c r="P35" s="1">
        <v>0</v>
      </c>
      <c r="Q35" s="1">
        <v>87</v>
      </c>
    </row>
    <row r="36" spans="1:17" x14ac:dyDescent="0.3">
      <c r="A36" s="1" t="s">
        <v>66</v>
      </c>
      <c r="B36" s="1" t="s">
        <v>18</v>
      </c>
      <c r="C36" s="1">
        <v>737046.94</v>
      </c>
      <c r="D36" s="1">
        <v>856235.45</v>
      </c>
      <c r="E36" s="1">
        <v>268</v>
      </c>
      <c r="F36" s="1">
        <v>0</v>
      </c>
      <c r="G36" s="1">
        <v>268</v>
      </c>
      <c r="H36" s="1">
        <v>856235.45</v>
      </c>
      <c r="I36" s="1">
        <v>0</v>
      </c>
      <c r="J36" s="1">
        <v>200</v>
      </c>
      <c r="K36" s="1">
        <v>148</v>
      </c>
      <c r="L36" s="1">
        <v>46446.8</v>
      </c>
      <c r="M36" s="1">
        <v>120</v>
      </c>
      <c r="N36" s="1">
        <v>809788.65</v>
      </c>
      <c r="O36" s="1">
        <v>-148</v>
      </c>
      <c r="P36" s="1">
        <v>-46446.8</v>
      </c>
      <c r="Q36" s="1">
        <v>11</v>
      </c>
    </row>
    <row r="37" spans="1:17" x14ac:dyDescent="0.3">
      <c r="A37" s="1" t="s">
        <v>67</v>
      </c>
      <c r="B37" s="1" t="s">
        <v>18</v>
      </c>
      <c r="C37" s="1">
        <v>602852.37</v>
      </c>
      <c r="D37" s="1">
        <v>541001.96</v>
      </c>
      <c r="E37" s="1">
        <v>124</v>
      </c>
      <c r="F37" s="1">
        <v>0</v>
      </c>
      <c r="G37" s="1">
        <v>124</v>
      </c>
      <c r="H37" s="1">
        <v>541001.96</v>
      </c>
      <c r="I37" s="1">
        <v>0</v>
      </c>
      <c r="J37" s="1">
        <v>80</v>
      </c>
      <c r="K37" s="1">
        <v>64</v>
      </c>
      <c r="L37" s="1">
        <v>26481.39</v>
      </c>
      <c r="M37" s="1">
        <v>60</v>
      </c>
      <c r="N37" s="1">
        <v>514520.57</v>
      </c>
      <c r="O37" s="1">
        <v>-64</v>
      </c>
      <c r="P37" s="1">
        <v>-26481.39</v>
      </c>
      <c r="Q37" s="1">
        <v>2</v>
      </c>
    </row>
    <row r="38" spans="1:17" x14ac:dyDescent="0.3">
      <c r="A38" s="1" t="s">
        <v>68</v>
      </c>
      <c r="B38" s="1" t="s">
        <v>21</v>
      </c>
      <c r="C38" s="1">
        <v>179461.27</v>
      </c>
      <c r="D38" s="1">
        <v>1555673.72</v>
      </c>
      <c r="E38" s="1">
        <v>1403</v>
      </c>
      <c r="F38" s="1">
        <v>-569</v>
      </c>
      <c r="G38" s="1">
        <v>834</v>
      </c>
      <c r="H38" s="1">
        <v>2065215.47</v>
      </c>
      <c r="I38" s="1">
        <v>509541.75</v>
      </c>
      <c r="J38" s="1">
        <v>624</v>
      </c>
      <c r="K38" s="1">
        <v>491</v>
      </c>
      <c r="L38" s="1">
        <v>114786.33</v>
      </c>
      <c r="M38" s="1">
        <v>343</v>
      </c>
      <c r="N38" s="1">
        <v>1950429.14</v>
      </c>
      <c r="O38" s="1">
        <v>-1060</v>
      </c>
      <c r="P38" s="2" t="s">
        <v>69</v>
      </c>
      <c r="Q38" s="1">
        <v>40</v>
      </c>
    </row>
    <row r="39" spans="1:17" x14ac:dyDescent="0.3">
      <c r="A39" s="1" t="s">
        <v>70</v>
      </c>
      <c r="B39" s="1" t="s">
        <v>18</v>
      </c>
      <c r="C39" s="1">
        <v>118676.8</v>
      </c>
      <c r="D39" s="1">
        <v>326398.21999999997</v>
      </c>
      <c r="E39" s="1">
        <v>88</v>
      </c>
      <c r="F39" s="1">
        <v>0</v>
      </c>
      <c r="G39" s="1">
        <v>88</v>
      </c>
      <c r="H39" s="1">
        <v>326398.21999999997</v>
      </c>
      <c r="I39" s="1">
        <v>0</v>
      </c>
      <c r="J39" s="1">
        <v>71</v>
      </c>
      <c r="K39" s="1">
        <v>55</v>
      </c>
      <c r="L39" s="1">
        <v>12150.78</v>
      </c>
      <c r="M39" s="1">
        <v>33</v>
      </c>
      <c r="N39" s="1">
        <v>314247.44</v>
      </c>
      <c r="O39" s="1">
        <v>-55</v>
      </c>
      <c r="P39" s="1">
        <v>-12150.78</v>
      </c>
      <c r="Q39" s="1">
        <v>7</v>
      </c>
    </row>
    <row r="40" spans="1:17" x14ac:dyDescent="0.3">
      <c r="A40" s="1" t="s">
        <v>71</v>
      </c>
      <c r="B40" s="1" t="s">
        <v>18</v>
      </c>
      <c r="C40" s="1">
        <v>750560.15</v>
      </c>
      <c r="D40" s="1">
        <v>820619.48</v>
      </c>
      <c r="E40" s="1">
        <v>222</v>
      </c>
      <c r="F40" s="1">
        <v>0</v>
      </c>
      <c r="G40" s="1">
        <v>222</v>
      </c>
      <c r="H40" s="1">
        <v>820619.48</v>
      </c>
      <c r="I40" s="1">
        <v>0</v>
      </c>
      <c r="J40" s="1">
        <v>156</v>
      </c>
      <c r="K40" s="1">
        <v>122</v>
      </c>
      <c r="L40" s="1">
        <v>13496.75</v>
      </c>
      <c r="M40" s="1">
        <v>100</v>
      </c>
      <c r="N40" s="1">
        <v>807122.73</v>
      </c>
      <c r="O40" s="1">
        <v>-122</v>
      </c>
      <c r="P40" s="1">
        <v>-13496.75</v>
      </c>
      <c r="Q40" s="1">
        <v>4</v>
      </c>
    </row>
    <row r="41" spans="1:17" x14ac:dyDescent="0.3">
      <c r="A41" s="1" t="s">
        <v>72</v>
      </c>
      <c r="B41" s="1" t="s">
        <v>18</v>
      </c>
      <c r="C41" s="1">
        <v>0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</row>
    <row r="42" spans="1:17" x14ac:dyDescent="0.3">
      <c r="A42" s="1" t="s">
        <v>73</v>
      </c>
      <c r="B42" s="1" t="s">
        <v>18</v>
      </c>
      <c r="C42" s="1">
        <v>0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3">
      <c r="A43" s="1" t="s">
        <v>74</v>
      </c>
      <c r="B43" s="1" t="s">
        <v>26</v>
      </c>
      <c r="C43" s="1">
        <v>1910383.7</v>
      </c>
      <c r="D43" s="1">
        <v>1805917.18</v>
      </c>
      <c r="E43" s="1">
        <v>159</v>
      </c>
      <c r="F43" s="1">
        <v>0</v>
      </c>
      <c r="G43" s="1">
        <v>159</v>
      </c>
      <c r="H43" s="1">
        <v>1805917.18</v>
      </c>
      <c r="I43" s="1">
        <v>0</v>
      </c>
      <c r="J43" s="1">
        <v>85</v>
      </c>
      <c r="K43" s="1">
        <v>39</v>
      </c>
      <c r="L43" s="1">
        <v>25650.35</v>
      </c>
      <c r="M43" s="1">
        <v>120</v>
      </c>
      <c r="N43" s="1">
        <v>1780266.83</v>
      </c>
      <c r="O43" s="1">
        <v>-39</v>
      </c>
      <c r="P43" s="1">
        <v>-25650.35</v>
      </c>
      <c r="Q43" s="1">
        <v>2</v>
      </c>
    </row>
    <row r="44" spans="1:17" x14ac:dyDescent="0.3">
      <c r="A44" s="1" t="s">
        <v>75</v>
      </c>
      <c r="B44" s="1" t="s">
        <v>26</v>
      </c>
      <c r="C44" s="1">
        <v>1684730.14</v>
      </c>
      <c r="D44" s="1">
        <v>1584817.02</v>
      </c>
      <c r="E44" s="1">
        <v>216</v>
      </c>
      <c r="F44" s="1">
        <v>0</v>
      </c>
      <c r="G44" s="1">
        <v>216</v>
      </c>
      <c r="H44" s="1">
        <v>1584817.02</v>
      </c>
      <c r="I44" s="1">
        <v>0</v>
      </c>
      <c r="J44" s="1">
        <v>105</v>
      </c>
      <c r="K44" s="1">
        <v>68</v>
      </c>
      <c r="L44" s="1">
        <v>29819.81</v>
      </c>
      <c r="M44" s="1">
        <v>148</v>
      </c>
      <c r="N44" s="1">
        <v>1554997.21</v>
      </c>
      <c r="O44" s="1">
        <v>-68</v>
      </c>
      <c r="P44" s="1">
        <v>-29819.81</v>
      </c>
      <c r="Q44" s="1">
        <v>8</v>
      </c>
    </row>
    <row r="45" spans="1:17" x14ac:dyDescent="0.3">
      <c r="A45" s="1" t="s">
        <v>76</v>
      </c>
      <c r="B45" s="1" t="s">
        <v>18</v>
      </c>
      <c r="C45" s="1">
        <v>0</v>
      </c>
      <c r="D45" s="1">
        <v>0</v>
      </c>
      <c r="E45" s="1">
        <v>1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3">
      <c r="A46" s="1" t="s">
        <v>77</v>
      </c>
      <c r="B46" s="1" t="s">
        <v>18</v>
      </c>
      <c r="C46" s="1">
        <v>426488.14</v>
      </c>
      <c r="D46" s="1">
        <v>996346.2</v>
      </c>
      <c r="E46" s="1">
        <v>1415</v>
      </c>
      <c r="F46" s="1">
        <v>0</v>
      </c>
      <c r="G46" s="1">
        <v>1415</v>
      </c>
      <c r="H46" s="1">
        <v>996346.2</v>
      </c>
      <c r="I46" s="1">
        <v>0</v>
      </c>
      <c r="J46" s="1">
        <v>1394</v>
      </c>
      <c r="K46" s="1">
        <v>1089</v>
      </c>
      <c r="L46" s="1">
        <v>13373.6</v>
      </c>
      <c r="M46" s="1">
        <v>326</v>
      </c>
      <c r="N46" s="2" t="s">
        <v>78</v>
      </c>
      <c r="O46" s="1">
        <v>-1089</v>
      </c>
      <c r="P46" s="1">
        <v>-13373.6</v>
      </c>
      <c r="Q46" s="1">
        <v>8</v>
      </c>
    </row>
    <row r="47" spans="1:17" x14ac:dyDescent="0.3">
      <c r="A47" s="1" t="s">
        <v>79</v>
      </c>
      <c r="B47" s="1" t="s">
        <v>18</v>
      </c>
      <c r="C47" s="1">
        <v>6248721.3899999997</v>
      </c>
      <c r="D47" s="1">
        <v>3909234.27</v>
      </c>
      <c r="E47" s="1">
        <v>30</v>
      </c>
      <c r="F47" s="1">
        <v>0</v>
      </c>
      <c r="G47" s="1">
        <v>30</v>
      </c>
      <c r="H47" s="1">
        <v>3909234.27</v>
      </c>
      <c r="I47" s="1">
        <v>0</v>
      </c>
      <c r="J47" s="1">
        <v>16</v>
      </c>
      <c r="K47" s="1">
        <v>0</v>
      </c>
      <c r="L47" s="1">
        <v>0</v>
      </c>
      <c r="M47" s="1">
        <v>30</v>
      </c>
      <c r="N47" s="1">
        <v>3909234.27</v>
      </c>
      <c r="O47" s="1">
        <v>0</v>
      </c>
      <c r="P47" s="1">
        <v>0</v>
      </c>
      <c r="Q47" s="1">
        <v>0</v>
      </c>
    </row>
    <row r="48" spans="1:17" x14ac:dyDescent="0.3">
      <c r="A48" s="1" t="s">
        <v>80</v>
      </c>
      <c r="B48" s="1" t="s">
        <v>26</v>
      </c>
      <c r="C48" s="1">
        <v>1735276.45</v>
      </c>
      <c r="D48" s="1">
        <v>1512559.56</v>
      </c>
      <c r="E48" s="1">
        <v>155</v>
      </c>
      <c r="F48" s="1">
        <v>0</v>
      </c>
      <c r="G48" s="1">
        <v>155</v>
      </c>
      <c r="H48" s="1">
        <v>1512559.56</v>
      </c>
      <c r="I48" s="1">
        <v>0</v>
      </c>
      <c r="J48" s="1">
        <v>57</v>
      </c>
      <c r="K48" s="1">
        <v>25</v>
      </c>
      <c r="L48" s="1">
        <v>12547.45</v>
      </c>
      <c r="M48" s="1">
        <v>130</v>
      </c>
      <c r="N48" s="1">
        <v>1500012.11</v>
      </c>
      <c r="O48" s="1">
        <v>-25</v>
      </c>
      <c r="P48" s="1">
        <v>-12547.45</v>
      </c>
      <c r="Q48" s="1">
        <v>5</v>
      </c>
    </row>
    <row r="49" spans="1:17" x14ac:dyDescent="0.3">
      <c r="A49" s="1" t="s">
        <v>81</v>
      </c>
      <c r="B49" s="1" t="s">
        <v>18</v>
      </c>
      <c r="C49" s="1">
        <v>516</v>
      </c>
      <c r="D49" s="1">
        <v>8564</v>
      </c>
      <c r="E49" s="1">
        <v>3</v>
      </c>
      <c r="F49" s="1">
        <v>0</v>
      </c>
      <c r="G49" s="1">
        <v>3</v>
      </c>
      <c r="H49" s="1">
        <v>8564</v>
      </c>
      <c r="I49" s="1">
        <v>0</v>
      </c>
      <c r="J49" s="1">
        <v>2</v>
      </c>
      <c r="K49" s="1">
        <v>1</v>
      </c>
      <c r="L49" s="1">
        <v>0</v>
      </c>
      <c r="M49" s="1">
        <v>2</v>
      </c>
      <c r="N49" s="1">
        <v>8564</v>
      </c>
      <c r="O49" s="1">
        <v>-1</v>
      </c>
      <c r="P49" s="1">
        <v>0</v>
      </c>
      <c r="Q49" s="1">
        <v>1</v>
      </c>
    </row>
    <row r="50" spans="1:17" x14ac:dyDescent="0.3">
      <c r="A50" s="1" t="s">
        <v>82</v>
      </c>
      <c r="B50" s="1" t="s">
        <v>18</v>
      </c>
      <c r="C50" s="1">
        <v>1241834.71</v>
      </c>
      <c r="D50" s="1">
        <v>1134956.3999999999</v>
      </c>
      <c r="E50" s="1">
        <v>180</v>
      </c>
      <c r="F50" s="1">
        <v>0</v>
      </c>
      <c r="G50" s="1">
        <v>180</v>
      </c>
      <c r="H50" s="1">
        <v>1134956.3999999999</v>
      </c>
      <c r="I50" s="1">
        <v>0</v>
      </c>
      <c r="J50" s="1">
        <v>101</v>
      </c>
      <c r="K50" s="1">
        <v>65</v>
      </c>
      <c r="L50" s="1">
        <v>30724.38</v>
      </c>
      <c r="M50" s="1">
        <v>115</v>
      </c>
      <c r="N50" s="1">
        <v>1104232.02</v>
      </c>
      <c r="O50" s="1">
        <v>-65</v>
      </c>
      <c r="P50" s="1">
        <v>-30724.38</v>
      </c>
      <c r="Q50" s="1">
        <v>3</v>
      </c>
    </row>
    <row r="51" spans="1:17" x14ac:dyDescent="0.3">
      <c r="A51" s="1" t="s">
        <v>83</v>
      </c>
      <c r="B51" s="1" t="s">
        <v>26</v>
      </c>
      <c r="C51" s="1">
        <v>1262360.52</v>
      </c>
      <c r="D51" s="1">
        <v>1090121.99</v>
      </c>
      <c r="E51" s="1">
        <v>188</v>
      </c>
      <c r="F51" s="1">
        <v>0</v>
      </c>
      <c r="G51" s="1">
        <v>188</v>
      </c>
      <c r="H51" s="1">
        <v>1090121.99</v>
      </c>
      <c r="I51" s="1">
        <v>0</v>
      </c>
      <c r="J51" s="1">
        <v>111</v>
      </c>
      <c r="K51" s="1">
        <v>71</v>
      </c>
      <c r="L51" s="1">
        <v>28352.44</v>
      </c>
      <c r="M51" s="1">
        <v>117</v>
      </c>
      <c r="N51" s="1">
        <v>1061769.55</v>
      </c>
      <c r="O51" s="1">
        <v>-71</v>
      </c>
      <c r="P51" s="1">
        <v>-28352.44</v>
      </c>
      <c r="Q51" s="1">
        <v>7</v>
      </c>
    </row>
    <row r="52" spans="1:17" x14ac:dyDescent="0.3">
      <c r="A52" s="1" t="s">
        <v>84</v>
      </c>
      <c r="B52" s="1" t="s">
        <v>85</v>
      </c>
      <c r="C52" s="1">
        <v>0</v>
      </c>
      <c r="D52" s="1">
        <v>0</v>
      </c>
      <c r="E52" s="1">
        <v>2</v>
      </c>
      <c r="F52" s="1">
        <v>0</v>
      </c>
      <c r="G52" s="1">
        <v>2</v>
      </c>
      <c r="H52" s="1">
        <v>0</v>
      </c>
      <c r="I52" s="1">
        <v>0</v>
      </c>
      <c r="J52" s="1">
        <v>2</v>
      </c>
      <c r="K52" s="1">
        <v>2</v>
      </c>
      <c r="L52" s="1">
        <v>0</v>
      </c>
      <c r="M52" s="1">
        <v>0</v>
      </c>
      <c r="N52" s="1">
        <v>0</v>
      </c>
      <c r="O52" s="1">
        <v>-2</v>
      </c>
      <c r="P52" s="1">
        <v>0</v>
      </c>
      <c r="Q52" s="1">
        <v>0</v>
      </c>
    </row>
    <row r="53" spans="1:17" x14ac:dyDescent="0.3">
      <c r="A53" s="1" t="s">
        <v>86</v>
      </c>
      <c r="B53" s="1" t="s">
        <v>18</v>
      </c>
      <c r="C53" s="1">
        <v>2237042.31</v>
      </c>
      <c r="D53" s="1">
        <v>2118559.2799999998</v>
      </c>
      <c r="E53" s="1">
        <v>475</v>
      </c>
      <c r="F53" s="1">
        <v>0</v>
      </c>
      <c r="G53" s="1">
        <v>475</v>
      </c>
      <c r="H53" s="1">
        <v>2118559.2799999998</v>
      </c>
      <c r="I53" s="1">
        <v>0</v>
      </c>
      <c r="J53" s="1">
        <v>347</v>
      </c>
      <c r="K53" s="1">
        <v>217</v>
      </c>
      <c r="L53" s="1">
        <v>21821.919999999998</v>
      </c>
      <c r="M53" s="1">
        <v>258</v>
      </c>
      <c r="N53" s="1">
        <v>2096737.36</v>
      </c>
      <c r="O53" s="1">
        <v>-217</v>
      </c>
      <c r="P53" s="1">
        <v>-21821.919999999998</v>
      </c>
      <c r="Q53" s="1">
        <v>10</v>
      </c>
    </row>
    <row r="54" spans="1:17" x14ac:dyDescent="0.3">
      <c r="A54" s="1" t="s">
        <v>87</v>
      </c>
      <c r="B54" s="1" t="s">
        <v>18</v>
      </c>
      <c r="C54" s="1">
        <v>142579.72</v>
      </c>
      <c r="D54" s="1">
        <v>212981.42</v>
      </c>
      <c r="E54" s="1">
        <v>160</v>
      </c>
      <c r="F54" s="1">
        <v>0</v>
      </c>
      <c r="G54" s="1">
        <v>160</v>
      </c>
      <c r="H54" s="1">
        <v>212981.42</v>
      </c>
      <c r="I54" s="1">
        <v>0</v>
      </c>
      <c r="J54" s="1">
        <v>134</v>
      </c>
      <c r="K54" s="1">
        <v>85</v>
      </c>
      <c r="L54" s="1">
        <v>14013.22</v>
      </c>
      <c r="M54" s="1">
        <v>75</v>
      </c>
      <c r="N54" s="1">
        <v>198968.2</v>
      </c>
      <c r="O54" s="1">
        <v>-85</v>
      </c>
      <c r="P54" s="1">
        <v>-14013.22</v>
      </c>
      <c r="Q54" s="1">
        <v>30</v>
      </c>
    </row>
    <row r="55" spans="1:17" x14ac:dyDescent="0.3">
      <c r="A55" s="1" t="s">
        <v>88</v>
      </c>
      <c r="B55" s="1" t="s">
        <v>18</v>
      </c>
      <c r="C55" s="1">
        <v>838775.52</v>
      </c>
      <c r="D55" s="1">
        <v>833953.04</v>
      </c>
      <c r="E55" s="1">
        <v>123</v>
      </c>
      <c r="F55" s="1">
        <v>0</v>
      </c>
      <c r="G55" s="1">
        <v>123</v>
      </c>
      <c r="H55" s="1">
        <v>833953.04</v>
      </c>
      <c r="I55" s="1">
        <v>0</v>
      </c>
      <c r="J55" s="1">
        <v>72</v>
      </c>
      <c r="K55" s="1">
        <v>58</v>
      </c>
      <c r="L55" s="1">
        <v>16680.599999999999</v>
      </c>
      <c r="M55" s="1">
        <v>65</v>
      </c>
      <c r="N55" s="1">
        <v>817272.44</v>
      </c>
      <c r="O55" s="1">
        <v>-58</v>
      </c>
      <c r="P55" s="1">
        <v>-16680.599999999999</v>
      </c>
      <c r="Q55" s="1">
        <v>1</v>
      </c>
    </row>
    <row r="56" spans="1:17" x14ac:dyDescent="0.3">
      <c r="A56" s="1" t="s">
        <v>89</v>
      </c>
      <c r="B56" s="1" t="s">
        <v>18</v>
      </c>
      <c r="C56" s="1">
        <v>1418968.01</v>
      </c>
      <c r="D56" s="1">
        <v>1585036.97</v>
      </c>
      <c r="E56" s="1">
        <v>148</v>
      </c>
      <c r="F56" s="1">
        <v>0</v>
      </c>
      <c r="G56" s="1">
        <v>148</v>
      </c>
      <c r="H56" s="1">
        <v>1585036.97</v>
      </c>
      <c r="I56" s="1">
        <v>0</v>
      </c>
      <c r="J56" s="1">
        <v>88</v>
      </c>
      <c r="K56" s="1">
        <v>53</v>
      </c>
      <c r="L56" s="1">
        <v>18851.5</v>
      </c>
      <c r="M56" s="1">
        <v>95</v>
      </c>
      <c r="N56" s="1">
        <v>1566185.47</v>
      </c>
      <c r="O56" s="1">
        <v>-53</v>
      </c>
      <c r="P56" s="1">
        <v>-18851.5</v>
      </c>
      <c r="Q56" s="1">
        <v>5</v>
      </c>
    </row>
    <row r="57" spans="1:17" x14ac:dyDescent="0.3">
      <c r="A57" s="1" t="s">
        <v>90</v>
      </c>
      <c r="B57" s="1" t="s">
        <v>18</v>
      </c>
      <c r="C57" s="1">
        <v>1747291.31</v>
      </c>
      <c r="D57" s="1">
        <v>1711828.84</v>
      </c>
      <c r="E57" s="1">
        <v>230</v>
      </c>
      <c r="F57" s="1">
        <v>0</v>
      </c>
      <c r="G57" s="1">
        <v>230</v>
      </c>
      <c r="H57" s="1">
        <v>1711828.84</v>
      </c>
      <c r="I57" s="1">
        <v>0</v>
      </c>
      <c r="J57" s="1">
        <v>130</v>
      </c>
      <c r="K57" s="1">
        <v>86</v>
      </c>
      <c r="L57" s="1">
        <v>38538.22</v>
      </c>
      <c r="M57" s="1">
        <v>144</v>
      </c>
      <c r="N57" s="1">
        <v>1673290.62</v>
      </c>
      <c r="O57" s="1">
        <v>-86</v>
      </c>
      <c r="P57" s="1">
        <v>-38538.22</v>
      </c>
      <c r="Q57" s="1">
        <v>7</v>
      </c>
    </row>
    <row r="58" spans="1:17" x14ac:dyDescent="0.3">
      <c r="A58" s="1" t="s">
        <v>91</v>
      </c>
      <c r="B58" s="1" t="s">
        <v>18</v>
      </c>
      <c r="C58" s="1">
        <v>23678.92</v>
      </c>
      <c r="D58" s="1">
        <v>-304071.99</v>
      </c>
      <c r="E58" s="1">
        <v>310</v>
      </c>
      <c r="F58" s="1">
        <v>0</v>
      </c>
      <c r="G58" s="1">
        <v>310</v>
      </c>
      <c r="H58" s="1">
        <v>-304071.99</v>
      </c>
      <c r="I58" s="1">
        <v>0</v>
      </c>
      <c r="J58" s="1">
        <v>309</v>
      </c>
      <c r="K58" s="1">
        <v>193</v>
      </c>
      <c r="L58" s="1">
        <v>0</v>
      </c>
      <c r="M58" s="1">
        <v>117</v>
      </c>
      <c r="N58" s="1">
        <v>-304071.99</v>
      </c>
      <c r="O58" s="1">
        <v>-193</v>
      </c>
      <c r="P58" s="1">
        <v>0</v>
      </c>
      <c r="Q58" s="1">
        <v>0</v>
      </c>
    </row>
    <row r="59" spans="1:17" x14ac:dyDescent="0.3">
      <c r="A59" s="1" t="s">
        <v>92</v>
      </c>
      <c r="B59" s="1" t="s">
        <v>18</v>
      </c>
      <c r="C59" s="1">
        <v>12.33</v>
      </c>
      <c r="D59" s="1">
        <v>-18.43</v>
      </c>
      <c r="E59" s="1">
        <v>9</v>
      </c>
      <c r="F59" s="1">
        <v>0</v>
      </c>
      <c r="G59" s="1">
        <v>9</v>
      </c>
      <c r="H59" s="1">
        <v>-18.43</v>
      </c>
      <c r="I59" s="1">
        <v>0</v>
      </c>
      <c r="J59" s="1">
        <v>9</v>
      </c>
      <c r="K59" s="1">
        <v>6</v>
      </c>
      <c r="L59" s="1">
        <v>-20.48</v>
      </c>
      <c r="M59" s="1">
        <v>3</v>
      </c>
      <c r="N59" s="1">
        <v>2.0499999999999998</v>
      </c>
      <c r="O59" s="1">
        <v>-6</v>
      </c>
      <c r="P59" s="1">
        <v>20.48</v>
      </c>
      <c r="Q59" s="1">
        <v>1</v>
      </c>
    </row>
    <row r="60" spans="1:17" x14ac:dyDescent="0.3">
      <c r="A60" s="1" t="s">
        <v>93</v>
      </c>
      <c r="B60" s="1" t="s">
        <v>18</v>
      </c>
      <c r="C60" s="1">
        <v>0</v>
      </c>
      <c r="D60" s="1">
        <v>0</v>
      </c>
      <c r="E60" s="1">
        <v>5</v>
      </c>
      <c r="F60" s="1">
        <v>0</v>
      </c>
      <c r="G60" s="1">
        <v>5</v>
      </c>
      <c r="H60" s="1">
        <v>0</v>
      </c>
      <c r="I60" s="1">
        <v>0</v>
      </c>
      <c r="J60" s="1">
        <v>5</v>
      </c>
      <c r="K60" s="1">
        <v>1</v>
      </c>
      <c r="L60" s="1">
        <v>0</v>
      </c>
      <c r="M60" s="1">
        <v>4</v>
      </c>
      <c r="N60" s="1">
        <v>0</v>
      </c>
      <c r="O60" s="1">
        <v>-1</v>
      </c>
      <c r="P60" s="1">
        <v>0</v>
      </c>
      <c r="Q60" s="1">
        <v>0</v>
      </c>
    </row>
    <row r="61" spans="1:17" x14ac:dyDescent="0.3">
      <c r="A61" s="1" t="s">
        <v>94</v>
      </c>
      <c r="B61" s="1" t="s">
        <v>18</v>
      </c>
      <c r="C61" s="1">
        <v>118591.03999999999</v>
      </c>
      <c r="D61" s="1">
        <v>108830.14</v>
      </c>
      <c r="E61" s="1">
        <v>91</v>
      </c>
      <c r="F61" s="1">
        <v>0</v>
      </c>
      <c r="G61" s="1">
        <v>91</v>
      </c>
      <c r="H61" s="1">
        <v>108830.14</v>
      </c>
      <c r="I61" s="1">
        <v>0</v>
      </c>
      <c r="J61" s="1">
        <v>77</v>
      </c>
      <c r="K61" s="1">
        <v>54</v>
      </c>
      <c r="L61" s="1">
        <v>9068.75</v>
      </c>
      <c r="M61" s="1">
        <v>37</v>
      </c>
      <c r="N61" s="1">
        <v>99761.39</v>
      </c>
      <c r="O61" s="1">
        <v>-54</v>
      </c>
      <c r="P61" s="1">
        <v>-9068.75</v>
      </c>
      <c r="Q61" s="1">
        <v>13</v>
      </c>
    </row>
    <row r="62" spans="1:17" x14ac:dyDescent="0.3">
      <c r="A62" s="1" t="s">
        <v>95</v>
      </c>
      <c r="B62" s="1" t="s">
        <v>21</v>
      </c>
      <c r="C62" s="1">
        <v>2312696.59</v>
      </c>
      <c r="D62" s="1">
        <v>2035345.12</v>
      </c>
      <c r="E62" s="1">
        <v>639</v>
      </c>
      <c r="F62" s="1">
        <v>-108</v>
      </c>
      <c r="G62" s="1">
        <v>531</v>
      </c>
      <c r="H62" s="1">
        <v>1765701.31</v>
      </c>
      <c r="I62" s="1">
        <v>-269643.81</v>
      </c>
      <c r="J62" s="1">
        <v>372</v>
      </c>
      <c r="K62" s="1">
        <v>304</v>
      </c>
      <c r="L62" s="1">
        <v>90626.27</v>
      </c>
      <c r="M62" s="1">
        <v>227</v>
      </c>
      <c r="N62" s="1">
        <v>1675075.04</v>
      </c>
      <c r="O62" s="1">
        <v>-412</v>
      </c>
      <c r="P62" s="1">
        <v>-360270.08000000002</v>
      </c>
      <c r="Q62" s="1">
        <v>19</v>
      </c>
    </row>
    <row r="63" spans="1:17" x14ac:dyDescent="0.3">
      <c r="A63" s="1" t="s">
        <v>96</v>
      </c>
      <c r="B63" s="1" t="s">
        <v>18</v>
      </c>
      <c r="C63" s="1">
        <v>0</v>
      </c>
      <c r="D63" s="1">
        <v>0</v>
      </c>
      <c r="E63" s="1">
        <v>2</v>
      </c>
      <c r="F63" s="1">
        <v>0</v>
      </c>
      <c r="G63" s="1">
        <v>2</v>
      </c>
      <c r="H63" s="1">
        <v>0</v>
      </c>
      <c r="I63" s="1">
        <v>0</v>
      </c>
      <c r="J63" s="1">
        <v>2</v>
      </c>
      <c r="K63" s="1">
        <v>2</v>
      </c>
      <c r="L63" s="1">
        <v>0</v>
      </c>
      <c r="M63" s="1">
        <v>0</v>
      </c>
      <c r="N63" s="1">
        <v>0</v>
      </c>
      <c r="O63" s="1">
        <v>-2</v>
      </c>
      <c r="P63" s="1">
        <v>0</v>
      </c>
      <c r="Q63" s="1">
        <v>0</v>
      </c>
    </row>
    <row r="64" spans="1:17" x14ac:dyDescent="0.3">
      <c r="A64" s="1" t="s">
        <v>97</v>
      </c>
      <c r="B64" s="1" t="s">
        <v>21</v>
      </c>
      <c r="C64" s="1">
        <v>2390069.19</v>
      </c>
      <c r="D64" s="1">
        <v>2198108.2999999998</v>
      </c>
      <c r="E64" s="1">
        <v>674</v>
      </c>
      <c r="F64" s="1">
        <v>79</v>
      </c>
      <c r="G64" s="1">
        <v>753</v>
      </c>
      <c r="H64" s="1">
        <v>1708395.73</v>
      </c>
      <c r="I64" s="1">
        <v>-489712.57</v>
      </c>
      <c r="J64" s="1">
        <v>559</v>
      </c>
      <c r="K64" s="1">
        <v>475</v>
      </c>
      <c r="L64" s="1">
        <v>155907.35999999999</v>
      </c>
      <c r="M64" s="1">
        <v>278</v>
      </c>
      <c r="N64" s="1">
        <v>1552488.37</v>
      </c>
      <c r="O64" s="1">
        <v>-396</v>
      </c>
      <c r="P64" s="1">
        <v>-645619.93000000005</v>
      </c>
      <c r="Q64" s="1">
        <v>29</v>
      </c>
    </row>
    <row r="65" spans="3:4" x14ac:dyDescent="0.3">
      <c r="C65" s="1">
        <v>90979065.450000003</v>
      </c>
      <c r="D65" s="1">
        <v>84760387.569999993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Rep_Level_Impacts_2025_Summ (3)</vt:lpstr>
      <vt:lpstr>Rep_Level_Impacts_2025_Summary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Schneider</dc:creator>
  <cp:lastModifiedBy>Kent Schneider</cp:lastModifiedBy>
  <dcterms:created xsi:type="dcterms:W3CDTF">2025-12-18T14:02:43Z</dcterms:created>
  <dcterms:modified xsi:type="dcterms:W3CDTF">2025-12-18T20:37:32Z</dcterms:modified>
</cp:coreProperties>
</file>